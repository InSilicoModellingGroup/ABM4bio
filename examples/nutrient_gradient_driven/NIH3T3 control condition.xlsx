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2953F125-E506-4721-A05B-C7186E442862}" xr6:coauthVersionLast="47" xr6:coauthVersionMax="47" xr10:uidLastSave="{00000000-0000-0000-0000-000000000000}"/>
  <bookViews>
    <workbookView xWindow="-38520" yWindow="-120" windowWidth="38640" windowHeight="21120" tabRatio="834" activeTab="2" xr2:uid="{00000000-000D-0000-FFFF-FFFF00000000}"/>
  </bookViews>
  <sheets>
    <sheet name="CTRL Condition" sheetId="1" r:id="rId1"/>
    <sheet name="Gradient condition" sheetId="18" r:id="rId2"/>
    <sheet name="Average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4" i="17" l="1"/>
  <c r="K15" i="17"/>
  <c r="K16" i="17"/>
  <c r="K17" i="17"/>
  <c r="K13" i="17"/>
  <c r="K6" i="17"/>
  <c r="K7" i="17"/>
  <c r="K8" i="17"/>
  <c r="K9" i="17"/>
  <c r="K5" i="17"/>
  <c r="E14" i="17"/>
  <c r="E15" i="17"/>
  <c r="E16" i="17"/>
  <c r="E17" i="17"/>
  <c r="E13" i="17"/>
  <c r="E6" i="17"/>
  <c r="E7" i="17"/>
  <c r="E8" i="17"/>
  <c r="E9" i="17"/>
  <c r="E5" i="17"/>
  <c r="H13" i="17"/>
  <c r="H14" i="17"/>
  <c r="I14" i="17" s="1"/>
  <c r="H15" i="17"/>
  <c r="H16" i="17"/>
  <c r="H17" i="17"/>
  <c r="D14" i="17"/>
  <c r="D15" i="17"/>
  <c r="D16" i="17"/>
  <c r="D17" i="17"/>
  <c r="D13" i="17"/>
  <c r="B14" i="17"/>
  <c r="B15" i="17"/>
  <c r="B16" i="17"/>
  <c r="B17" i="17"/>
  <c r="B13" i="17"/>
  <c r="I17" i="17"/>
  <c r="C17" i="17"/>
  <c r="I16" i="17"/>
  <c r="C16" i="17"/>
  <c r="I15" i="17"/>
  <c r="C15" i="17"/>
  <c r="C14" i="17"/>
  <c r="I13" i="17"/>
  <c r="J14" i="17" s="1"/>
  <c r="C13" i="17"/>
  <c r="J13" i="17" l="1"/>
  <c r="J17" i="17"/>
  <c r="J16" i="17"/>
  <c r="J15" i="17"/>
  <c r="H5" i="17" l="1"/>
  <c r="B5" i="17"/>
  <c r="H6" i="17" l="1"/>
  <c r="I6" i="17" s="1"/>
  <c r="H7" i="17"/>
  <c r="I7" i="17" s="1"/>
  <c r="H8" i="17"/>
  <c r="I8" i="17" s="1"/>
  <c r="H9" i="17"/>
  <c r="I9" i="17" s="1"/>
  <c r="I5" i="17"/>
  <c r="J5" i="17" s="1"/>
  <c r="B6" i="17"/>
  <c r="C6" i="17" s="1"/>
  <c r="B7" i="17"/>
  <c r="C7" i="17" s="1"/>
  <c r="B8" i="17"/>
  <c r="C8" i="17" s="1"/>
  <c r="B9" i="17"/>
  <c r="C9" i="17" s="1"/>
  <c r="C5" i="17"/>
  <c r="D5" i="17" s="1"/>
  <c r="D9" i="17" l="1"/>
  <c r="D8" i="17"/>
  <c r="D7" i="17"/>
  <c r="D6" i="17"/>
  <c r="J9" i="17"/>
  <c r="J8" i="17"/>
  <c r="J7" i="17"/>
  <c r="J6" i="17"/>
</calcChain>
</file>

<file path=xl/sharedStrings.xml><?xml version="1.0" encoding="utf-8"?>
<sst xmlns="http://schemas.openxmlformats.org/spreadsheetml/2006/main" count="872" uniqueCount="73">
  <si>
    <t>t [h]</t>
  </si>
  <si>
    <t>Obj 1 - S</t>
  </si>
  <si>
    <t>Obj 1 - C</t>
  </si>
  <si>
    <t xml:space="preserve">Area </t>
  </si>
  <si>
    <t xml:space="preserve">Angle </t>
  </si>
  <si>
    <t>Axis (major)</t>
  </si>
  <si>
    <t>Axis (minor)</t>
  </si>
  <si>
    <t>Diameter (max)</t>
  </si>
  <si>
    <t>Diameter (min)</t>
  </si>
  <si>
    <t>Diameter (mean)</t>
  </si>
  <si>
    <t>Center-X (mass)</t>
  </si>
  <si>
    <t>Center-Y (mass)</t>
  </si>
  <si>
    <t>Obj 2 - S</t>
  </si>
  <si>
    <t>Obj 2 - C</t>
  </si>
  <si>
    <t>Obj 3 - S</t>
  </si>
  <si>
    <t>Obj 3 - C</t>
  </si>
  <si>
    <t>Obj 4 - S</t>
  </si>
  <si>
    <t>Obj 4 - C</t>
  </si>
  <si>
    <t>Obj 5 - S</t>
  </si>
  <si>
    <t>Obj 5 - C</t>
  </si>
  <si>
    <t>Obj 6 - S</t>
  </si>
  <si>
    <t>Obj 6 - C</t>
  </si>
  <si>
    <t>Obj 7 - S</t>
  </si>
  <si>
    <t>Obj 7 - C</t>
  </si>
  <si>
    <t>Obj 8 - S</t>
  </si>
  <si>
    <t>Obj 8 - C</t>
  </si>
  <si>
    <t>Obj 9 - S</t>
  </si>
  <si>
    <t>Obj 9 - C</t>
  </si>
  <si>
    <t>Obj 10 - S</t>
  </si>
  <si>
    <t>Obj 10 - C</t>
  </si>
  <si>
    <t>Obj 11 - S</t>
  </si>
  <si>
    <t>Obj 11 - C</t>
  </si>
  <si>
    <t>Obj 12 - S</t>
  </si>
  <si>
    <t>Obj 12 - C</t>
  </si>
  <si>
    <t>Obj 13 - S</t>
  </si>
  <si>
    <t>Obj 13 - C</t>
  </si>
  <si>
    <t>Obj 14 - S</t>
  </si>
  <si>
    <t>Obj 14 - C</t>
  </si>
  <si>
    <t>Obj 15 - S</t>
  </si>
  <si>
    <t>Obj 15 - C</t>
  </si>
  <si>
    <t>Obj 16 - S</t>
  </si>
  <si>
    <t>Obj 16 - C</t>
  </si>
  <si>
    <t>Obj 17 - S</t>
  </si>
  <si>
    <t>Obj 17 - C</t>
  </si>
  <si>
    <t>Obj 18 - S</t>
  </si>
  <si>
    <t>Obj 18 - C</t>
  </si>
  <si>
    <t>Obj 19 - S</t>
  </si>
  <si>
    <t>Obj 19 - C</t>
  </si>
  <si>
    <t>Obj 20 - S</t>
  </si>
  <si>
    <t>Obj 20 - C</t>
  </si>
  <si>
    <t>Obj 21 - S</t>
  </si>
  <si>
    <t>Obj 21 - C</t>
  </si>
  <si>
    <t>Data:</t>
  </si>
  <si>
    <t>5x [um/Pxl]</t>
  </si>
  <si>
    <t>[Pixel]</t>
  </si>
  <si>
    <t>A/A0</t>
  </si>
  <si>
    <t>Necrotic core metrics obtained by image analysis. All data are reported in pixel. Images were acquired by using 5x optic.</t>
  </si>
  <si>
    <t>Shell (S) metrics obtained by image analysis. All data are reported in pixel. Images were acquired by using 5x optic.</t>
  </si>
  <si>
    <t>Area, Pxl^2</t>
  </si>
  <si>
    <r>
      <t xml:space="preserve">Area, </t>
    </r>
    <r>
      <rPr>
        <b/>
        <sz val="11"/>
        <color theme="1"/>
        <rFont val="Calibri"/>
        <family val="2"/>
      </rPr>
      <t>μ^2</t>
    </r>
  </si>
  <si>
    <t>Shell area</t>
  </si>
  <si>
    <t>Core area</t>
  </si>
  <si>
    <t>SEM</t>
  </si>
  <si>
    <t>Obj 30 - S</t>
  </si>
  <si>
    <t>Obj 30 - C</t>
  </si>
  <si>
    <t>Obj 31 - S</t>
  </si>
  <si>
    <t>Obj 31 - C</t>
  </si>
  <si>
    <t>Obj 32 - S</t>
  </si>
  <si>
    <t>Obj 32 - C</t>
  </si>
  <si>
    <t>Obj 33 - S</t>
  </si>
  <si>
    <t>Obj 33 - C</t>
  </si>
  <si>
    <t>Obj 34 - S</t>
  </si>
  <si>
    <t>Obj 34 -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</si>
</sst>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2" fontId="0" fillId="0" borderId="0" xfId="0" applyNumberFormat="1"/>
    <xf numFmtId="2" fontId="2" fillId="2" borderId="0" xfId="0" applyNumberFormat="1" applyFont="1" applyFill="1"/>
    <xf numFmtId="2" fontId="0" fillId="2" borderId="0" xfId="0" applyNumberFormat="1" applyFill="1"/>
    <xf numFmtId="0" fontId="2" fillId="0" borderId="4" xfId="0" applyFont="1" applyBorder="1"/>
    <xf numFmtId="2" fontId="0" fillId="0" borderId="5" xfId="0" applyNumberFormat="1" applyBorder="1"/>
    <xf numFmtId="2" fontId="2" fillId="0" borderId="0" xfId="0" applyNumberFormat="1" applyFont="1"/>
    <xf numFmtId="2" fontId="2" fillId="0" borderId="5" xfId="0" applyNumberFormat="1" applyFont="1" applyBorder="1"/>
    <xf numFmtId="0" fontId="1" fillId="0" borderId="0" xfId="0" applyFont="1"/>
    <xf numFmtId="14" fontId="2" fillId="0" borderId="0" xfId="0" applyNumberFormat="1" applyFont="1"/>
    <xf numFmtId="0" fontId="2" fillId="0" borderId="6" xfId="0" applyFont="1" applyBorder="1"/>
    <xf numFmtId="2" fontId="0" fillId="0" borderId="7" xfId="0" applyNumberFormat="1" applyBorder="1"/>
    <xf numFmtId="2" fontId="0" fillId="0" borderId="8" xfId="0" applyNumberFormat="1" applyBorder="1"/>
    <xf numFmtId="0" fontId="2" fillId="3" borderId="4" xfId="0" applyFont="1" applyFill="1" applyBorder="1"/>
    <xf numFmtId="0" fontId="0" fillId="3" borderId="0" xfId="0" applyFill="1"/>
    <xf numFmtId="2" fontId="0" fillId="3" borderId="0" xfId="0" applyNumberFormat="1" applyFill="1"/>
    <xf numFmtId="2" fontId="0" fillId="3" borderId="5" xfId="0" applyNumberFormat="1" applyFill="1" applyBorder="1"/>
    <xf numFmtId="0" fontId="2" fillId="3" borderId="0" xfId="0" applyFont="1" applyFill="1"/>
    <xf numFmtId="2" fontId="2" fillId="3" borderId="0" xfId="0" applyNumberFormat="1" applyFont="1" applyFill="1"/>
    <xf numFmtId="2" fontId="2" fillId="3" borderId="5" xfId="0" applyNumberFormat="1" applyFont="1" applyFill="1" applyBorder="1"/>
    <xf numFmtId="0" fontId="2" fillId="3" borderId="6" xfId="0" applyFont="1" applyFill="1" applyBorder="1"/>
    <xf numFmtId="0" fontId="0" fillId="3" borderId="7" xfId="0" applyFill="1" applyBorder="1"/>
    <xf numFmtId="2" fontId="0" fillId="3" borderId="7" xfId="0" applyNumberFormat="1" applyFill="1" applyBorder="1"/>
    <xf numFmtId="2" fontId="0" fillId="3" borderId="8" xfId="0" applyNumberFormat="1" applyFill="1" applyBorder="1"/>
    <xf numFmtId="0" fontId="2" fillId="0" borderId="5" xfId="0" applyFont="1" applyBorder="1"/>
    <xf numFmtId="1" fontId="2" fillId="0" borderId="0" xfId="0" applyNumberFormat="1" applyFont="1"/>
    <xf numFmtId="1" fontId="0" fillId="0" borderId="0" xfId="0" applyNumberFormat="1"/>
    <xf numFmtId="1" fontId="2" fillId="2" borderId="0" xfId="0" applyNumberFormat="1" applyFont="1" applyFill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1" fontId="2" fillId="0" borderId="4" xfId="0" applyNumberFormat="1" applyFont="1" applyBorder="1"/>
    <xf numFmtId="1" fontId="2" fillId="3" borderId="4" xfId="0" applyNumberFormat="1" applyFont="1" applyFill="1" applyBorder="1"/>
    <xf numFmtId="1" fontId="2" fillId="3" borderId="6" xfId="0" applyNumberFormat="1" applyFont="1" applyFill="1" applyBorder="1"/>
    <xf numFmtId="2" fontId="2" fillId="0" borderId="4" xfId="0" applyNumberFormat="1" applyFont="1" applyBorder="1"/>
    <xf numFmtId="2" fontId="2" fillId="3" borderId="4" xfId="0" applyNumberFormat="1" applyFont="1" applyFill="1" applyBorder="1"/>
    <xf numFmtId="2" fontId="2" fillId="3" borderId="6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NIH/3T3 - CTRL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Average!$A$3</c:f>
              <c:strCache>
                <c:ptCount val="1"/>
                <c:pt idx="0">
                  <c:v>Shell area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Average!$E$5:$E$9</c:f>
                <c:numCache>
                  <c:formatCode>General</c:formatCode>
                  <c:ptCount val="5"/>
                  <c:pt idx="0">
                    <c:v>1496.2386052358245</c:v>
                  </c:pt>
                  <c:pt idx="1">
                    <c:v>2419.3917761351786</c:v>
                  </c:pt>
                  <c:pt idx="2">
                    <c:v>3898.5583206330539</c:v>
                  </c:pt>
                  <c:pt idx="3">
                    <c:v>3875.2852333856063</c:v>
                  </c:pt>
                  <c:pt idx="4">
                    <c:v>3771.1641061329055</c:v>
                  </c:pt>
                </c:numCache>
              </c:numRef>
            </c:plus>
            <c:minus>
              <c:numRef>
                <c:f>Average!$E$5:$E$9</c:f>
                <c:numCache>
                  <c:formatCode>General</c:formatCode>
                  <c:ptCount val="5"/>
                  <c:pt idx="0">
                    <c:v>1496.2386052358245</c:v>
                  </c:pt>
                  <c:pt idx="1">
                    <c:v>2419.3917761351786</c:v>
                  </c:pt>
                  <c:pt idx="2">
                    <c:v>3898.5583206330539</c:v>
                  </c:pt>
                  <c:pt idx="3">
                    <c:v>3875.2852333856063</c:v>
                  </c:pt>
                  <c:pt idx="4">
                    <c:v>3771.1641061329055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Average!$A$5:$A$9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</c:numCache>
            </c:numRef>
          </c:xVal>
          <c:yVal>
            <c:numRef>
              <c:f>Average!$C$5:$C$9</c:f>
              <c:numCache>
                <c:formatCode>0.00</c:formatCode>
                <c:ptCount val="5"/>
                <c:pt idx="0">
                  <c:v>31796.427574598863</c:v>
                </c:pt>
                <c:pt idx="1">
                  <c:v>49424.377284188879</c:v>
                </c:pt>
                <c:pt idx="2">
                  <c:v>76549.595489381274</c:v>
                </c:pt>
                <c:pt idx="3">
                  <c:v>75654.582220553304</c:v>
                </c:pt>
                <c:pt idx="4">
                  <c:v>75843.272910384694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F7-4629-AF59-9622B47A570C}"/>
            </c:ext>
          </c:extLst>
        </c:ser>
        <c:ser>
          <c:idx val="1"/>
          <c:order val="1"/>
          <c:tx>
            <c:strRef>
              <c:f>Average!$G$3</c:f>
              <c:strCache>
                <c:ptCount val="1"/>
                <c:pt idx="0">
                  <c:v>Core area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Average!$K$5:$K$9</c:f>
                <c:numCache>
                  <c:formatCode>General</c:formatCode>
                  <c:ptCount val="5"/>
                  <c:pt idx="0">
                    <c:v>777.72337851552902</c:v>
                  </c:pt>
                  <c:pt idx="1">
                    <c:v>1078.777193999397</c:v>
                  </c:pt>
                  <c:pt idx="2">
                    <c:v>1333.489341997845</c:v>
                  </c:pt>
                  <c:pt idx="3">
                    <c:v>1570.4603424724032</c:v>
                  </c:pt>
                  <c:pt idx="4">
                    <c:v>1502.0557803917902</c:v>
                  </c:pt>
                </c:numCache>
              </c:numRef>
            </c:plus>
            <c:minus>
              <c:numRef>
                <c:f>Average!$K$5:$K$9</c:f>
                <c:numCache>
                  <c:formatCode>General</c:formatCode>
                  <c:ptCount val="5"/>
                  <c:pt idx="0">
                    <c:v>777.72337851552902</c:v>
                  </c:pt>
                  <c:pt idx="1">
                    <c:v>1078.777193999397</c:v>
                  </c:pt>
                  <c:pt idx="2">
                    <c:v>1333.489341997845</c:v>
                  </c:pt>
                  <c:pt idx="3">
                    <c:v>1570.4603424724032</c:v>
                  </c:pt>
                  <c:pt idx="4">
                    <c:v>1502.0557803917902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Average!$G$5:$G$9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</c:numCache>
            </c:numRef>
          </c:xVal>
          <c:yVal>
            <c:numRef>
              <c:f>Average!$I$5:$I$9</c:f>
              <c:numCache>
                <c:formatCode>0.00</c:formatCode>
                <c:ptCount val="5"/>
                <c:pt idx="0">
                  <c:v>11071.177305636606</c:v>
                </c:pt>
                <c:pt idx="1">
                  <c:v>16260.079648924937</c:v>
                </c:pt>
                <c:pt idx="2">
                  <c:v>22492.431122579044</c:v>
                </c:pt>
                <c:pt idx="3">
                  <c:v>22624.557364762699</c:v>
                </c:pt>
                <c:pt idx="4">
                  <c:v>23863.721927378327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F7-4629-AF59-9622B47A5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456879"/>
        <c:axId val="1574473679"/>
      </c:scatterChart>
      <c:valAx>
        <c:axId val="157445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t,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473679"/>
        <c:crosses val="autoZero"/>
        <c:crossBetween val="midCat"/>
        <c:majorUnit val="12"/>
      </c:valAx>
      <c:valAx>
        <c:axId val="157447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A, </a:t>
                </a:r>
                <a:r>
                  <a:rPr lang="el-GR" b="1"/>
                  <a:t>μ</a:t>
                </a:r>
                <a:r>
                  <a:rPr lang="it-IT" b="1"/>
                  <a:t>m2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456879"/>
        <c:crosses val="autoZero"/>
        <c:crossBetween val="midCat"/>
        <c:majorUnit val="2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NIH/3T3 - CTRL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Average!$A$3</c:f>
              <c:strCache>
                <c:ptCount val="1"/>
                <c:pt idx="0">
                  <c:v>Shell area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Average!$A$5:$A$9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</c:numCache>
            </c:numRef>
          </c:xVal>
          <c:yVal>
            <c:numRef>
              <c:f>Average!$D$5:$D$9</c:f>
              <c:numCache>
                <c:formatCode>0.00</c:formatCode>
                <c:ptCount val="5"/>
                <c:pt idx="0">
                  <c:v>1</c:v>
                </c:pt>
                <c:pt idx="1">
                  <c:v>1.5544003227479686</c:v>
                </c:pt>
                <c:pt idx="2">
                  <c:v>2.4074904424336734</c:v>
                </c:pt>
                <c:pt idx="3">
                  <c:v>2.379342208902465</c:v>
                </c:pt>
                <c:pt idx="4">
                  <c:v>2.3852765450598428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5D-4339-9E41-47C2A284CCD8}"/>
            </c:ext>
          </c:extLst>
        </c:ser>
        <c:ser>
          <c:idx val="1"/>
          <c:order val="1"/>
          <c:tx>
            <c:strRef>
              <c:f>Average!$G$3</c:f>
              <c:strCache>
                <c:ptCount val="1"/>
                <c:pt idx="0">
                  <c:v>Core area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Average!$G$5:$G$9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</c:numCache>
            </c:numRef>
          </c:xVal>
          <c:yVal>
            <c:numRef>
              <c:f>Average!$J$5:$J$9</c:f>
              <c:numCache>
                <c:formatCode>0.00</c:formatCode>
                <c:ptCount val="5"/>
                <c:pt idx="0">
                  <c:v>1</c:v>
                </c:pt>
                <c:pt idx="1">
                  <c:v>1.4686856871713665</c:v>
                </c:pt>
                <c:pt idx="2">
                  <c:v>2.0316205315515634</c:v>
                </c:pt>
                <c:pt idx="3">
                  <c:v>2.0435547855641323</c:v>
                </c:pt>
                <c:pt idx="4">
                  <c:v>2.1554818668858933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5D-4339-9E41-47C2A284C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456879"/>
        <c:axId val="1574473679"/>
      </c:scatterChart>
      <c:valAx>
        <c:axId val="157445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t,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473679"/>
        <c:crosses val="autoZero"/>
        <c:crossBetween val="midCat"/>
        <c:majorUnit val="12"/>
      </c:valAx>
      <c:valAx>
        <c:axId val="1574473679"/>
        <c:scaling>
          <c:orientation val="minMax"/>
          <c:max val="3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A, </a:t>
                </a:r>
                <a:r>
                  <a:rPr lang="el-GR" b="1"/>
                  <a:t>μ</a:t>
                </a:r>
                <a:r>
                  <a:rPr lang="it-IT" b="1"/>
                  <a:t>m2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456879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NIH/3T3 - Gradient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Average!$A$11</c:f>
              <c:strCache>
                <c:ptCount val="1"/>
                <c:pt idx="0">
                  <c:v>Shell area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Average!$E$5:$E$9</c:f>
                <c:numCache>
                  <c:formatCode>General</c:formatCode>
                  <c:ptCount val="5"/>
                  <c:pt idx="0">
                    <c:v>1496.2386052358245</c:v>
                  </c:pt>
                  <c:pt idx="1">
                    <c:v>2419.3917761351786</c:v>
                  </c:pt>
                  <c:pt idx="2">
                    <c:v>3898.5583206330539</c:v>
                  </c:pt>
                  <c:pt idx="3">
                    <c:v>3875.2852333856063</c:v>
                  </c:pt>
                  <c:pt idx="4">
                    <c:v>3771.1641061329055</c:v>
                  </c:pt>
                </c:numCache>
              </c:numRef>
            </c:plus>
            <c:minus>
              <c:numRef>
                <c:f>Average!$E$5:$E$9</c:f>
                <c:numCache>
                  <c:formatCode>General</c:formatCode>
                  <c:ptCount val="5"/>
                  <c:pt idx="0">
                    <c:v>1496.2386052358245</c:v>
                  </c:pt>
                  <c:pt idx="1">
                    <c:v>2419.3917761351786</c:v>
                  </c:pt>
                  <c:pt idx="2">
                    <c:v>3898.5583206330539</c:v>
                  </c:pt>
                  <c:pt idx="3">
                    <c:v>3875.2852333856063</c:v>
                  </c:pt>
                  <c:pt idx="4">
                    <c:v>3771.1641061329055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Average!$A$13:$A$17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</c:numCache>
            </c:numRef>
          </c:xVal>
          <c:yVal>
            <c:numRef>
              <c:f>Average!$C$13:$C$17</c:f>
              <c:numCache>
                <c:formatCode>0.00</c:formatCode>
                <c:ptCount val="5"/>
                <c:pt idx="0">
                  <c:v>26967.15713758309</c:v>
                </c:pt>
                <c:pt idx="1">
                  <c:v>42360.819891475432</c:v>
                </c:pt>
                <c:pt idx="2">
                  <c:v>54973.312947602244</c:v>
                </c:pt>
                <c:pt idx="3">
                  <c:v>58794.94735100423</c:v>
                </c:pt>
                <c:pt idx="4">
                  <c:v>60109.246115138994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B-4D32-A766-1300211A326A}"/>
            </c:ext>
          </c:extLst>
        </c:ser>
        <c:ser>
          <c:idx val="1"/>
          <c:order val="1"/>
          <c:tx>
            <c:strRef>
              <c:f>Average!$G$11</c:f>
              <c:strCache>
                <c:ptCount val="1"/>
                <c:pt idx="0">
                  <c:v>Core area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Average!$K$5:$K$9</c:f>
                <c:numCache>
                  <c:formatCode>General</c:formatCode>
                  <c:ptCount val="5"/>
                  <c:pt idx="0">
                    <c:v>777.72337851552902</c:v>
                  </c:pt>
                  <c:pt idx="1">
                    <c:v>1078.777193999397</c:v>
                  </c:pt>
                  <c:pt idx="2">
                    <c:v>1333.489341997845</c:v>
                  </c:pt>
                  <c:pt idx="3">
                    <c:v>1570.4603424724032</c:v>
                  </c:pt>
                  <c:pt idx="4">
                    <c:v>1502.0557803917902</c:v>
                  </c:pt>
                </c:numCache>
              </c:numRef>
            </c:plus>
            <c:minus>
              <c:numRef>
                <c:f>Average!$K$5:$K$9</c:f>
                <c:numCache>
                  <c:formatCode>General</c:formatCode>
                  <c:ptCount val="5"/>
                  <c:pt idx="0">
                    <c:v>777.72337851552902</c:v>
                  </c:pt>
                  <c:pt idx="1">
                    <c:v>1078.777193999397</c:v>
                  </c:pt>
                  <c:pt idx="2">
                    <c:v>1333.489341997845</c:v>
                  </c:pt>
                  <c:pt idx="3">
                    <c:v>1570.4603424724032</c:v>
                  </c:pt>
                  <c:pt idx="4">
                    <c:v>1502.0557803917902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Average!$G$13:$G$17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</c:numCache>
            </c:numRef>
          </c:xVal>
          <c:yVal>
            <c:numRef>
              <c:f>Average!$I$13:$I$17</c:f>
              <c:numCache>
                <c:formatCode>0.00</c:formatCode>
                <c:ptCount val="5"/>
                <c:pt idx="0">
                  <c:v>11361.024286293765</c:v>
                </c:pt>
                <c:pt idx="1">
                  <c:v>14270.367172434804</c:v>
                </c:pt>
                <c:pt idx="2">
                  <c:v>19637.176403647936</c:v>
                </c:pt>
                <c:pt idx="3">
                  <c:v>20542.371353603772</c:v>
                </c:pt>
                <c:pt idx="4">
                  <c:v>19860.037615487119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CB-4D32-A766-1300211A3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456879"/>
        <c:axId val="1574473679"/>
      </c:scatterChart>
      <c:valAx>
        <c:axId val="157445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t,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473679"/>
        <c:crosses val="autoZero"/>
        <c:crossBetween val="midCat"/>
        <c:majorUnit val="12"/>
      </c:valAx>
      <c:valAx>
        <c:axId val="1574473679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A, </a:t>
                </a:r>
                <a:r>
                  <a:rPr lang="el-GR" b="1"/>
                  <a:t>μ</a:t>
                </a:r>
                <a:r>
                  <a:rPr lang="it-IT" b="1"/>
                  <a:t>m2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456879"/>
        <c:crosses val="autoZero"/>
        <c:crossBetween val="midCat"/>
        <c:majorUnit val="2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NIH/3T3 - Gradient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Average!$A$11</c:f>
              <c:strCache>
                <c:ptCount val="1"/>
                <c:pt idx="0">
                  <c:v>Shell area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Average!$A$13:$A$17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</c:numCache>
            </c:numRef>
          </c:xVal>
          <c:yVal>
            <c:numRef>
              <c:f>Average!$D$13:$D$17</c:f>
              <c:numCache>
                <c:formatCode>0.00</c:formatCode>
                <c:ptCount val="5"/>
                <c:pt idx="0">
                  <c:v>1</c:v>
                </c:pt>
                <c:pt idx="1">
                  <c:v>1.5708300165032518</c:v>
                </c:pt>
                <c:pt idx="2">
                  <c:v>2.0385282982234734</c:v>
                </c:pt>
                <c:pt idx="3">
                  <c:v>2.1802426948839919</c:v>
                </c:pt>
                <c:pt idx="4">
                  <c:v>2.2289797107076983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6E-49F0-AA30-0847DAB499F5}"/>
            </c:ext>
          </c:extLst>
        </c:ser>
        <c:ser>
          <c:idx val="1"/>
          <c:order val="1"/>
          <c:tx>
            <c:strRef>
              <c:f>Average!$G$11</c:f>
              <c:strCache>
                <c:ptCount val="1"/>
                <c:pt idx="0">
                  <c:v>Core area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Average!$G$13:$G$17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</c:numCache>
            </c:numRef>
          </c:xVal>
          <c:yVal>
            <c:numRef>
              <c:f>Average!$J$13:$J$17</c:f>
              <c:numCache>
                <c:formatCode>0.00</c:formatCode>
                <c:ptCount val="5"/>
                <c:pt idx="0">
                  <c:v>1</c:v>
                </c:pt>
                <c:pt idx="1">
                  <c:v>1.2560810374862896</c:v>
                </c:pt>
                <c:pt idx="2">
                  <c:v>1.7284688342175922</c:v>
                </c:pt>
                <c:pt idx="3">
                  <c:v>1.8081443042408265</c:v>
                </c:pt>
                <c:pt idx="4">
                  <c:v>1.7480851299162159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6E-49F0-AA30-0847DAB49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456879"/>
        <c:axId val="1574473679"/>
      </c:scatterChart>
      <c:valAx>
        <c:axId val="157445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t,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473679"/>
        <c:crosses val="autoZero"/>
        <c:crossBetween val="midCat"/>
        <c:majorUnit val="12"/>
      </c:valAx>
      <c:valAx>
        <c:axId val="1574473679"/>
        <c:scaling>
          <c:orientation val="minMax"/>
          <c:max val="3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A, </a:t>
                </a:r>
                <a:r>
                  <a:rPr lang="el-GR" b="1"/>
                  <a:t>μ</a:t>
                </a:r>
                <a:r>
                  <a:rPr lang="it-IT" b="1"/>
                  <a:t>m2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456879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2.xml"/><Relationship Id="rId3" Type="http://schemas.openxmlformats.org/officeDocument/2006/relationships/chart" Target="../charts/chart2.xml"/><Relationship Id="rId7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ustomXml" Target="../ink/ink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514350</xdr:colOff>
      <xdr:row>2</xdr:row>
      <xdr:rowOff>47625</xdr:rowOff>
    </xdr:from>
    <xdr:to>
      <xdr:col>17</xdr:col>
      <xdr:colOff>582930</xdr:colOff>
      <xdr:row>17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AF6CC2-BAD8-A66F-EF5A-F693E5947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400050</xdr:colOff>
      <xdr:row>2</xdr:row>
      <xdr:rowOff>26644</xdr:rowOff>
    </xdr:from>
    <xdr:to>
      <xdr:col>30</xdr:col>
      <xdr:colOff>93345</xdr:colOff>
      <xdr:row>17</xdr:row>
      <xdr:rowOff>95775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D13C-3D17-255E-6290-1B971F067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97125" y="388594"/>
          <a:ext cx="3350895" cy="2783756"/>
        </a:xfrm>
        <a:prstGeom prst="rect">
          <a:avLst/>
        </a:prstGeom>
      </xdr:spPr>
    </xdr:pic>
    <xdr:clientData/>
  </xdr:twoCellAnchor>
  <xdr:twoCellAnchor>
    <xdr:from>
      <xdr:col>18</xdr:col>
      <xdr:colOff>28575</xdr:colOff>
      <xdr:row>2</xdr:row>
      <xdr:rowOff>59055</xdr:rowOff>
    </xdr:from>
    <xdr:to>
      <xdr:col>24</xdr:col>
      <xdr:colOff>330975</xdr:colOff>
      <xdr:row>17</xdr:row>
      <xdr:rowOff>59055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6725F3-6560-4508-AC33-979C5C8A6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504825</xdr:colOff>
      <xdr:row>17</xdr:row>
      <xdr:rowOff>114300</xdr:rowOff>
    </xdr:from>
    <xdr:to>
      <xdr:col>17</xdr:col>
      <xdr:colOff>581025</xdr:colOff>
      <xdr:row>32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9C6776-C021-4853-A0C8-E1C487A70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24765</xdr:colOff>
      <xdr:row>17</xdr:row>
      <xdr:rowOff>121920</xdr:rowOff>
    </xdr:from>
    <xdr:to>
      <xdr:col>24</xdr:col>
      <xdr:colOff>323355</xdr:colOff>
      <xdr:row>32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66BDF6-46F3-4488-AFD6-8E08612542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25</xdr:col>
      <xdr:colOff>479865</xdr:colOff>
      <xdr:row>8</xdr:row>
      <xdr:rowOff>47640</xdr:rowOff>
    </xdr:from>
    <xdr:to>
      <xdr:col>29</xdr:col>
      <xdr:colOff>552615</xdr:colOff>
      <xdr:row>14</xdr:row>
      <xdr:rowOff>76350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9CA8C05-69DC-988D-D682-7E0AB245B0C0}"/>
                </a:ext>
              </a:extLst>
            </xdr14:cNvPr>
            <xdr14:cNvContentPartPr/>
          </xdr14:nvContentPartPr>
          <xdr14:nvPr macro=""/>
          <xdr14:xfrm>
            <a:off x="15786540" y="1495440"/>
            <a:ext cx="2511150" cy="11145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99CA8C05-69DC-988D-D682-7E0AB245B0C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5768899" y="1459857"/>
              <a:ext cx="2546792" cy="11860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371475</xdr:colOff>
      <xdr:row>17</xdr:row>
      <xdr:rowOff>133350</xdr:rowOff>
    </xdr:from>
    <xdr:to>
      <xdr:col>30</xdr:col>
      <xdr:colOff>74295</xdr:colOff>
      <xdr:row>33</xdr:row>
      <xdr:rowOff>19601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8D8039-5CC4-4D1B-B768-7995D2F37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68550" y="3209925"/>
          <a:ext cx="3360420" cy="2781851"/>
        </a:xfrm>
        <a:prstGeom prst="rect">
          <a:avLst/>
        </a:prstGeom>
      </xdr:spPr>
    </xdr:pic>
    <xdr:clientData/>
  </xdr:twoCellAnchor>
  <xdr:twoCellAnchor editAs="oneCell">
    <xdr:from>
      <xdr:col>25</xdr:col>
      <xdr:colOff>380655</xdr:colOff>
      <xdr:row>26</xdr:row>
      <xdr:rowOff>25305</xdr:rowOff>
    </xdr:from>
    <xdr:to>
      <xdr:col>29</xdr:col>
      <xdr:colOff>560430</xdr:colOff>
      <xdr:row>30</xdr:row>
      <xdr:rowOff>11895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912E51D6-5454-A046-FF85-B893140006C0}"/>
                </a:ext>
              </a:extLst>
            </xdr14:cNvPr>
            <xdr14:cNvContentPartPr/>
          </xdr14:nvContentPartPr>
          <xdr14:nvPr macro=""/>
          <xdr14:xfrm>
            <a:off x="15687330" y="4730655"/>
            <a:ext cx="2618175" cy="71049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912E51D6-5454-A046-FF85-B893140006C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5669713" y="4695004"/>
              <a:ext cx="2653770" cy="78215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8T10:29:49.906"/>
    </inkml:context>
    <inkml:brush xml:id="br0">
      <inkml:brushProperty name="width" value="0.1" units="cm"/>
      <inkml:brushProperty name="height" value="0.2" units="cm"/>
      <inkml:brushProperty name="color" value="#FFFFB3"/>
      <inkml:brushProperty name="tip" value="rectangle"/>
      <inkml:brushProperty name="rasterOp" value="maskPen"/>
      <inkml:brushProperty name="ignorePressure" value="1"/>
    </inkml:brush>
  </inkml:definitions>
  <inkml:trace contextRef="#ctx0" brushRef="#br0">1 3255,'0'-3,"0"0,1 0,0 0,0 0,0 0,0 1,0-1,0 1,1-1,-1 1,1-1,0 1,0-1,-1 1,2 0,-1 1,3-3,45-33,-35 29,81-62,33-21,428-248,-341 188,51-28,-137 103,-77 47,-2-1,-1-4,62-53,-79 57,-1-3,-2 1,-1-3,47-74,188-337,-168 295,32-58,-73 111,17-33,51-95,-116 209,1 2,1-2,0 1,2 1,-1 1,24-26,7 0,66-52,-81 72,1 2,0 1,1 2,36-14,172-69,-218 89,1-1,1 3,-1 0,1 0,1 2,41-4,143-3,153-2,515 14,-827-3,54-9,-52 6,50-2,1589 9,-1661-1</inkml:trace>
  <inkml:trace contextRef="#ctx0" brushRef="#br0" timeOffset="254.26">6976 1</inkml:trace>
  <inkml:trace contextRef="#ctx0" brushRef="#br0" timeOffset="426.47">6976 1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8T10:30:10.786"/>
    </inkml:context>
    <inkml:brush xml:id="br0">
      <inkml:brushProperty name="width" value="0.1" units="cm"/>
      <inkml:brushProperty name="height" value="0.2" units="cm"/>
      <inkml:brushProperty name="color" value="#FFFFB3"/>
      <inkml:brushProperty name="tip" value="rectangle"/>
      <inkml:brushProperty name="rasterOp" value="maskPen"/>
      <inkml:brushProperty name="ignorePressure" value="1"/>
    </inkml:brush>
  </inkml:definitions>
  <inkml:trace contextRef="#ctx0" brushRef="#br0">7273 60,'-1'3,"1"0,-1 1,0-2,0 1,0-1,0 1,0-1,0 1,-1-1,1 2,-1-2,0 0,0 0,0 0,0 0,0 0,0-1,0 1,-1 1,1-2,-5 3,-2 0,0 0,0 0,0 0,-18 3,-30 0,-1-1,1-4,-63-6,11 0,-38 6,-130-6,228-2,-54-16,-33-5,55 16,38 3,-73-1,-5 11,-151-3,168-14,63 9,-56-2,60 5,-45-8,-24-2,-630 10,375 6,329-2,0 1,1 3,-1 0,1 2,0 2,0 0,2 3,-33 15,-1 8,1 3,-88 69,50-28,-111 83,160-127,-73 64,76-58,-2-2,-62 36,-22 16,106-71,-59 34,44-28,2 2,0 2,2 2,-59 62,55-51,-1-2,-81 57,42-42,43-27,0-3,-66 32,-105 43,104-47,-163 58,88-43,122-42,-1-4,-86 21,38-18,-35 8,-93 0,214-29,5 2</inkml:trace>
  <inkml:trace contextRef="#ctx0" brushRef="#br0" timeOffset="244.17">1 2080,'0'0</inkml:trace>
  <inkml:trace contextRef="#ctx0" brushRef="#br0" timeOffset="428.05">1 2080,'0'0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B1:V197"/>
  <sheetViews>
    <sheetView topLeftCell="A49" workbookViewId="0">
      <selection activeCell="I30" sqref="I30"/>
    </sheetView>
  </sheetViews>
  <sheetFormatPr defaultRowHeight="15" x14ac:dyDescent="0.25"/>
  <cols>
    <col min="1" max="1" width="3.140625" customWidth="1"/>
    <col min="2" max="2" width="10.7109375" style="1" bestFit="1" customWidth="1"/>
    <col min="3" max="3" width="10.7109375" bestFit="1" customWidth="1"/>
    <col min="4" max="4" width="9" style="2" bestFit="1" customWidth="1"/>
    <col min="5" max="6" width="11.140625" style="2" bestFit="1" customWidth="1"/>
    <col min="7" max="7" width="14.140625" style="2" bestFit="1" customWidth="1"/>
    <col min="8" max="8" width="13.7109375" style="2" bestFit="1" customWidth="1"/>
    <col min="9" max="9" width="15.28515625" style="2" bestFit="1" customWidth="1"/>
    <col min="10" max="10" width="14.42578125" style="2" bestFit="1" customWidth="1"/>
    <col min="11" max="11" width="14.28515625" style="2" bestFit="1" customWidth="1"/>
    <col min="12" max="12" width="3.42578125" customWidth="1"/>
    <col min="13" max="13" width="8.85546875" style="1"/>
    <col min="14" max="14" width="6" bestFit="1" customWidth="1"/>
    <col min="15" max="15" width="9" style="2" bestFit="1" customWidth="1"/>
    <col min="16" max="17" width="11.140625" style="2" bestFit="1" customWidth="1"/>
    <col min="18" max="18" width="14.140625" style="2" bestFit="1" customWidth="1"/>
    <col min="19" max="19" width="13.7109375" style="2" bestFit="1" customWidth="1"/>
    <col min="20" max="20" width="15.28515625" style="2" bestFit="1" customWidth="1"/>
    <col min="21" max="21" width="14.42578125" style="2" bestFit="1" customWidth="1"/>
    <col min="22" max="22" width="14.28515625" style="2" bestFit="1" customWidth="1"/>
  </cols>
  <sheetData>
    <row r="1" spans="2:22" x14ac:dyDescent="0.25">
      <c r="B1" s="3" t="s">
        <v>53</v>
      </c>
      <c r="C1" s="4">
        <v>1.2107985796049701</v>
      </c>
    </row>
    <row r="3" spans="2:22" x14ac:dyDescent="0.25">
      <c r="B3" s="38" t="s">
        <v>57</v>
      </c>
      <c r="C3" s="39"/>
      <c r="D3" s="39"/>
      <c r="E3" s="39"/>
      <c r="F3" s="39"/>
      <c r="G3" s="39"/>
      <c r="H3" s="39"/>
      <c r="I3" s="39"/>
      <c r="J3" s="39"/>
      <c r="K3" s="40"/>
      <c r="M3" s="38" t="s">
        <v>56</v>
      </c>
      <c r="N3" s="39"/>
      <c r="O3" s="39"/>
      <c r="P3" s="39"/>
      <c r="Q3" s="39"/>
      <c r="R3" s="39"/>
      <c r="S3" s="39"/>
      <c r="T3" s="39"/>
      <c r="U3" s="39"/>
      <c r="V3" s="40"/>
    </row>
    <row r="4" spans="2:22" x14ac:dyDescent="0.25">
      <c r="B4" s="5"/>
      <c r="K4" s="6"/>
      <c r="M4" s="5"/>
      <c r="V4" s="6"/>
    </row>
    <row r="5" spans="2:22" x14ac:dyDescent="0.25">
      <c r="B5" s="5" t="s">
        <v>1</v>
      </c>
      <c r="C5" s="1" t="s">
        <v>54</v>
      </c>
      <c r="K5" s="6"/>
      <c r="M5" s="5" t="s">
        <v>2</v>
      </c>
      <c r="V5" s="6"/>
    </row>
    <row r="6" spans="2:22" s="1" customFormat="1" x14ac:dyDescent="0.25">
      <c r="B6" s="5" t="s">
        <v>0</v>
      </c>
      <c r="C6" s="1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  <c r="J6" s="7" t="s">
        <v>10</v>
      </c>
      <c r="K6" s="8" t="s">
        <v>11</v>
      </c>
      <c r="M6" s="5" t="s">
        <v>0</v>
      </c>
      <c r="N6" s="1" t="s">
        <v>3</v>
      </c>
      <c r="O6" s="7" t="s">
        <v>4</v>
      </c>
      <c r="P6" s="7" t="s">
        <v>5</v>
      </c>
      <c r="Q6" s="7" t="s">
        <v>6</v>
      </c>
      <c r="R6" s="7" t="s">
        <v>7</v>
      </c>
      <c r="S6" s="7" t="s">
        <v>8</v>
      </c>
      <c r="T6" s="7" t="s">
        <v>9</v>
      </c>
      <c r="U6" s="7" t="s">
        <v>10</v>
      </c>
      <c r="V6" s="8" t="s">
        <v>11</v>
      </c>
    </row>
    <row r="7" spans="2:22" x14ac:dyDescent="0.25">
      <c r="B7" s="5">
        <v>0</v>
      </c>
      <c r="C7">
        <v>25785</v>
      </c>
      <c r="D7" s="2">
        <v>1.0290980000000001</v>
      </c>
      <c r="E7" s="2">
        <v>195.87020000000001</v>
      </c>
      <c r="F7" s="2">
        <v>167.9211</v>
      </c>
      <c r="G7" s="2">
        <v>199.6722</v>
      </c>
      <c r="H7" s="2">
        <v>162.1172</v>
      </c>
      <c r="I7" s="2">
        <v>179.81059999999999</v>
      </c>
      <c r="J7" s="2">
        <v>606.125</v>
      </c>
      <c r="K7" s="6">
        <v>524.83040000000005</v>
      </c>
      <c r="M7" s="5">
        <v>0</v>
      </c>
      <c r="N7">
        <v>7529</v>
      </c>
      <c r="O7" s="2">
        <v>12.26113</v>
      </c>
      <c r="P7" s="2">
        <v>102.4659</v>
      </c>
      <c r="Q7" s="2">
        <v>93.848159999999993</v>
      </c>
      <c r="R7" s="2">
        <v>103.465</v>
      </c>
      <c r="S7" s="2">
        <v>88.752459999999999</v>
      </c>
      <c r="T7" s="2">
        <v>96.752769999999998</v>
      </c>
      <c r="U7" s="2">
        <v>622.19209999999998</v>
      </c>
      <c r="V7" s="6">
        <v>534.63310000000001</v>
      </c>
    </row>
    <row r="8" spans="2:22" x14ac:dyDescent="0.25">
      <c r="B8" s="5">
        <v>12</v>
      </c>
      <c r="C8">
        <v>30053</v>
      </c>
      <c r="D8" s="2">
        <v>39.70149</v>
      </c>
      <c r="E8" s="2">
        <v>201.5093</v>
      </c>
      <c r="F8" s="2">
        <v>190.1139</v>
      </c>
      <c r="G8" s="2">
        <v>204.12989999999999</v>
      </c>
      <c r="H8" s="2">
        <v>182.6499</v>
      </c>
      <c r="I8" s="2">
        <v>194.47450000000001</v>
      </c>
      <c r="J8" s="2">
        <v>615.44629999999995</v>
      </c>
      <c r="K8" s="6">
        <v>510.14</v>
      </c>
      <c r="M8" s="5">
        <v>12</v>
      </c>
      <c r="N8">
        <v>11740</v>
      </c>
      <c r="O8" s="2">
        <v>52.078980000000001</v>
      </c>
      <c r="P8" s="2">
        <v>132.34780000000001</v>
      </c>
      <c r="Q8" s="2">
        <v>113.842</v>
      </c>
      <c r="R8" s="2">
        <v>134.52879999999999</v>
      </c>
      <c r="S8" s="2">
        <v>106.4706</v>
      </c>
      <c r="T8" s="2">
        <v>120.7384</v>
      </c>
      <c r="U8" s="2">
        <v>638.05280000000005</v>
      </c>
      <c r="V8" s="6">
        <v>510.93060000000003</v>
      </c>
    </row>
    <row r="9" spans="2:22" x14ac:dyDescent="0.25">
      <c r="B9" s="5">
        <v>24</v>
      </c>
      <c r="C9">
        <v>47097</v>
      </c>
      <c r="D9" s="2">
        <v>40.158389999999997</v>
      </c>
      <c r="E9" s="2">
        <v>251.76130000000001</v>
      </c>
      <c r="F9" s="2">
        <v>238.64660000000001</v>
      </c>
      <c r="G9" s="2">
        <v>255.7381</v>
      </c>
      <c r="H9" s="2">
        <v>227.3785</v>
      </c>
      <c r="I9" s="2">
        <v>243.49959999999999</v>
      </c>
      <c r="J9" s="2">
        <v>609.12649999999996</v>
      </c>
      <c r="K9" s="6">
        <v>502.68599999999998</v>
      </c>
      <c r="M9" s="5">
        <v>24</v>
      </c>
      <c r="N9">
        <v>12599</v>
      </c>
      <c r="O9" s="2">
        <v>58.361710000000002</v>
      </c>
      <c r="P9" s="2">
        <v>143.7013</v>
      </c>
      <c r="Q9" s="2">
        <v>112.5091</v>
      </c>
      <c r="R9" s="2">
        <v>145</v>
      </c>
      <c r="S9" s="2">
        <v>103.2473</v>
      </c>
      <c r="T9" s="2">
        <v>124.8216</v>
      </c>
      <c r="U9" s="2">
        <v>647.01729999999998</v>
      </c>
      <c r="V9" s="6">
        <v>504.95249999999999</v>
      </c>
    </row>
    <row r="10" spans="2:22" x14ac:dyDescent="0.25">
      <c r="B10" s="5">
        <v>36</v>
      </c>
      <c r="C10">
        <v>44587</v>
      </c>
      <c r="D10" s="2">
        <v>23.565770000000001</v>
      </c>
      <c r="E10" s="2">
        <v>242.95679999999999</v>
      </c>
      <c r="F10" s="2">
        <v>234.0676</v>
      </c>
      <c r="G10" s="2">
        <v>249.50550000000001</v>
      </c>
      <c r="H10" s="2">
        <v>226.3184</v>
      </c>
      <c r="I10" s="2">
        <v>237.1875</v>
      </c>
      <c r="J10" s="2">
        <v>608.69650000000001</v>
      </c>
      <c r="K10" s="6">
        <v>502.17489999999998</v>
      </c>
      <c r="M10" s="5">
        <v>36</v>
      </c>
      <c r="N10">
        <v>11303</v>
      </c>
      <c r="O10" s="2">
        <v>128.7799</v>
      </c>
      <c r="P10" s="2">
        <v>124.9443</v>
      </c>
      <c r="Q10" s="2">
        <v>117.0154</v>
      </c>
      <c r="R10" s="2">
        <v>132.3783</v>
      </c>
      <c r="S10" s="2">
        <v>100.7025</v>
      </c>
      <c r="T10" s="2">
        <v>118.4823</v>
      </c>
      <c r="U10" s="2">
        <v>642.13840000000005</v>
      </c>
      <c r="V10" s="6">
        <v>502.7559</v>
      </c>
    </row>
    <row r="11" spans="2:22" x14ac:dyDescent="0.25">
      <c r="B11" s="5">
        <v>48</v>
      </c>
      <c r="C11">
        <v>44511</v>
      </c>
      <c r="D11" s="2">
        <v>20.210100000000001</v>
      </c>
      <c r="E11" s="2">
        <v>241.94900000000001</v>
      </c>
      <c r="F11" s="2">
        <v>234.52029999999999</v>
      </c>
      <c r="G11" s="2">
        <v>250.2818</v>
      </c>
      <c r="H11" s="2">
        <v>226.37360000000001</v>
      </c>
      <c r="I11" s="2">
        <v>236.8356</v>
      </c>
      <c r="J11" s="2">
        <v>611.04909999999995</v>
      </c>
      <c r="K11" s="6">
        <v>505.65449999999998</v>
      </c>
      <c r="M11" s="5">
        <v>48</v>
      </c>
      <c r="N11">
        <v>12456</v>
      </c>
      <c r="O11" s="2">
        <v>111.07389999999999</v>
      </c>
      <c r="P11" s="2">
        <v>139.75530000000001</v>
      </c>
      <c r="Q11" s="2">
        <v>115.22110000000001</v>
      </c>
      <c r="R11" s="2">
        <v>148.125</v>
      </c>
      <c r="S11" s="2">
        <v>97.943860000000001</v>
      </c>
      <c r="T11" s="2">
        <v>123.8274</v>
      </c>
      <c r="U11" s="2">
        <v>639.46280000000002</v>
      </c>
      <c r="V11" s="6">
        <v>515.30359999999996</v>
      </c>
    </row>
    <row r="12" spans="2:22" x14ac:dyDescent="0.25">
      <c r="B12" s="5"/>
      <c r="K12" s="6"/>
      <c r="M12" s="5"/>
      <c r="V12" s="6"/>
    </row>
    <row r="13" spans="2:22" x14ac:dyDescent="0.25"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7"/>
      <c r="M13" s="14" t="s">
        <v>13</v>
      </c>
      <c r="N13" s="15"/>
      <c r="O13" s="16"/>
      <c r="P13" s="16"/>
      <c r="Q13" s="16"/>
      <c r="R13" s="16"/>
      <c r="S13" s="16"/>
      <c r="T13" s="16"/>
      <c r="U13" s="16"/>
      <c r="V13" s="17"/>
    </row>
    <row r="14" spans="2:22" s="1" customFormat="1" x14ac:dyDescent="0.25">
      <c r="B14" s="14" t="s">
        <v>0</v>
      </c>
      <c r="C14" s="18" t="s">
        <v>3</v>
      </c>
      <c r="D14" s="19" t="s">
        <v>4</v>
      </c>
      <c r="E14" s="19" t="s">
        <v>5</v>
      </c>
      <c r="F14" s="19" t="s">
        <v>6</v>
      </c>
      <c r="G14" s="19" t="s">
        <v>7</v>
      </c>
      <c r="H14" s="19" t="s">
        <v>8</v>
      </c>
      <c r="I14" s="19" t="s">
        <v>9</v>
      </c>
      <c r="J14" s="19" t="s">
        <v>10</v>
      </c>
      <c r="K14" s="20" t="s">
        <v>11</v>
      </c>
      <c r="M14" s="14" t="s">
        <v>0</v>
      </c>
      <c r="N14" s="18" t="s">
        <v>3</v>
      </c>
      <c r="O14" s="19" t="s">
        <v>4</v>
      </c>
      <c r="P14" s="19" t="s">
        <v>5</v>
      </c>
      <c r="Q14" s="19" t="s">
        <v>6</v>
      </c>
      <c r="R14" s="19" t="s">
        <v>7</v>
      </c>
      <c r="S14" s="19" t="s">
        <v>8</v>
      </c>
      <c r="T14" s="19" t="s">
        <v>9</v>
      </c>
      <c r="U14" s="19" t="s">
        <v>10</v>
      </c>
      <c r="V14" s="20" t="s">
        <v>11</v>
      </c>
    </row>
    <row r="15" spans="2:22" x14ac:dyDescent="0.25">
      <c r="B15" s="14">
        <v>0</v>
      </c>
      <c r="C15" s="15">
        <v>16740</v>
      </c>
      <c r="D15" s="16">
        <v>83.321380000000005</v>
      </c>
      <c r="E15" s="16">
        <v>169.00739999999999</v>
      </c>
      <c r="F15" s="16">
        <v>127.3034</v>
      </c>
      <c r="G15" s="16">
        <v>179.04470000000001</v>
      </c>
      <c r="H15" s="16">
        <v>119.5073</v>
      </c>
      <c r="I15" s="16">
        <v>143.89570000000001</v>
      </c>
      <c r="J15" s="16">
        <v>622.81809999999996</v>
      </c>
      <c r="K15" s="17">
        <v>532.07960000000003</v>
      </c>
      <c r="M15" s="14">
        <v>0</v>
      </c>
      <c r="N15" s="15">
        <v>2941</v>
      </c>
      <c r="O15" s="16">
        <v>89.642129999999995</v>
      </c>
      <c r="P15" s="16">
        <v>74.112639999999999</v>
      </c>
      <c r="Q15" s="16">
        <v>51.708710000000004</v>
      </c>
      <c r="R15" s="16">
        <v>75.425460000000001</v>
      </c>
      <c r="S15" s="16">
        <v>42.379240000000003</v>
      </c>
      <c r="T15" s="16">
        <v>59.223059999999997</v>
      </c>
      <c r="U15" s="16">
        <v>607.82339999999999</v>
      </c>
      <c r="V15" s="17">
        <v>534.62490000000003</v>
      </c>
    </row>
    <row r="16" spans="2:22" x14ac:dyDescent="0.25">
      <c r="B16" s="14">
        <v>12</v>
      </c>
      <c r="C16" s="15">
        <v>20308</v>
      </c>
      <c r="D16" s="16">
        <v>87.238709999999998</v>
      </c>
      <c r="E16" s="16">
        <v>181.17509999999999</v>
      </c>
      <c r="F16" s="16">
        <v>143.36009999999999</v>
      </c>
      <c r="G16" s="16">
        <v>181.17670000000001</v>
      </c>
      <c r="H16" s="16">
        <v>137.00360000000001</v>
      </c>
      <c r="I16" s="16">
        <v>158.922</v>
      </c>
      <c r="J16" s="16">
        <v>624.66780000000006</v>
      </c>
      <c r="K16" s="17">
        <v>525.67489999999998</v>
      </c>
      <c r="M16" s="14">
        <v>12</v>
      </c>
      <c r="N16" s="15">
        <v>5024</v>
      </c>
      <c r="O16" s="16">
        <v>87.317890000000006</v>
      </c>
      <c r="P16" s="16">
        <v>97.575019999999995</v>
      </c>
      <c r="Q16" s="16">
        <v>67.015140000000002</v>
      </c>
      <c r="R16" s="16">
        <v>98.005099999999999</v>
      </c>
      <c r="S16" s="16">
        <v>54.120240000000003</v>
      </c>
      <c r="T16" s="16">
        <v>77.794499999999999</v>
      </c>
      <c r="U16" s="16">
        <v>624.09889999999996</v>
      </c>
      <c r="V16" s="17">
        <v>515.57360000000006</v>
      </c>
    </row>
    <row r="17" spans="2:22" x14ac:dyDescent="0.25">
      <c r="B17" s="14">
        <v>24</v>
      </c>
      <c r="C17" s="15">
        <v>32896</v>
      </c>
      <c r="D17" s="16">
        <v>85.397369999999995</v>
      </c>
      <c r="E17" s="16">
        <v>224.87719999999999</v>
      </c>
      <c r="F17" s="16">
        <v>186.89009999999999</v>
      </c>
      <c r="G17" s="16">
        <v>224.40369999999999</v>
      </c>
      <c r="H17" s="16">
        <v>173.3494</v>
      </c>
      <c r="I17" s="16">
        <v>202.91050000000001</v>
      </c>
      <c r="J17" s="16">
        <v>630.60490000000004</v>
      </c>
      <c r="K17" s="17">
        <v>526.48320000000001</v>
      </c>
      <c r="M17" s="14">
        <v>24</v>
      </c>
      <c r="N17" s="15">
        <v>6952</v>
      </c>
      <c r="O17" s="16">
        <v>79.328689999999995</v>
      </c>
      <c r="P17" s="16">
        <v>110.5941</v>
      </c>
      <c r="Q17" s="16">
        <v>81.149000000000001</v>
      </c>
      <c r="R17" s="16">
        <v>110.45359999999999</v>
      </c>
      <c r="S17" s="16">
        <v>71.589100000000002</v>
      </c>
      <c r="T17" s="16">
        <v>92.069469999999995</v>
      </c>
      <c r="U17" s="16">
        <v>623.41830000000004</v>
      </c>
      <c r="V17" s="17">
        <v>535.09029999999996</v>
      </c>
    </row>
    <row r="18" spans="2:22" x14ac:dyDescent="0.25">
      <c r="B18" s="14">
        <v>36</v>
      </c>
      <c r="C18" s="15">
        <v>30653</v>
      </c>
      <c r="D18" s="16">
        <v>88.403850000000006</v>
      </c>
      <c r="E18" s="16">
        <v>219.02619999999999</v>
      </c>
      <c r="F18" s="16">
        <v>178.98259999999999</v>
      </c>
      <c r="G18" s="16">
        <v>221</v>
      </c>
      <c r="H18" s="16">
        <v>168.0744</v>
      </c>
      <c r="I18" s="16">
        <v>195.83340000000001</v>
      </c>
      <c r="J18" s="16">
        <v>626.99069999999995</v>
      </c>
      <c r="K18" s="17">
        <v>526.16930000000002</v>
      </c>
      <c r="M18" s="14">
        <v>36</v>
      </c>
      <c r="N18" s="15">
        <v>6960</v>
      </c>
      <c r="O18" s="16">
        <v>90.937539999999998</v>
      </c>
      <c r="P18" s="16">
        <v>105.0685</v>
      </c>
      <c r="Q18" s="16">
        <v>86.104640000000003</v>
      </c>
      <c r="R18" s="16">
        <v>115.7325</v>
      </c>
      <c r="S18" s="16">
        <v>76.694199999999995</v>
      </c>
      <c r="T18" s="16">
        <v>92.406360000000006</v>
      </c>
      <c r="U18" s="16">
        <v>613.41110000000003</v>
      </c>
      <c r="V18" s="17">
        <v>530.20010000000002</v>
      </c>
    </row>
    <row r="19" spans="2:22" x14ac:dyDescent="0.25">
      <c r="B19" s="14">
        <v>48</v>
      </c>
      <c r="C19" s="15">
        <v>36936</v>
      </c>
      <c r="D19" s="16">
        <v>88.603359999999995</v>
      </c>
      <c r="E19" s="16">
        <v>239.91149999999999</v>
      </c>
      <c r="F19" s="16">
        <v>196.6481</v>
      </c>
      <c r="G19" s="16">
        <v>241.62780000000001</v>
      </c>
      <c r="H19" s="16">
        <v>183.78790000000001</v>
      </c>
      <c r="I19" s="16">
        <v>215.05430000000001</v>
      </c>
      <c r="J19" s="16">
        <v>631.40549999999996</v>
      </c>
      <c r="K19" s="17">
        <v>530.97249999999997</v>
      </c>
      <c r="M19" s="14">
        <v>48</v>
      </c>
      <c r="N19" s="15">
        <v>10507</v>
      </c>
      <c r="O19" s="16">
        <v>85.617220000000003</v>
      </c>
      <c r="P19" s="16">
        <v>127.73779999999999</v>
      </c>
      <c r="Q19" s="16">
        <v>105.4688</v>
      </c>
      <c r="R19" s="16">
        <v>133.73480000000001</v>
      </c>
      <c r="S19" s="16">
        <v>95.880129999999994</v>
      </c>
      <c r="T19" s="16">
        <v>114.11450000000001</v>
      </c>
      <c r="U19" s="16">
        <v>622.45309999999995</v>
      </c>
      <c r="V19" s="17">
        <v>533.23069999999996</v>
      </c>
    </row>
    <row r="20" spans="2:22" x14ac:dyDescent="0.25">
      <c r="B20" s="5"/>
      <c r="K20" s="6"/>
      <c r="M20" s="5"/>
      <c r="V20" s="6"/>
    </row>
    <row r="21" spans="2:22" x14ac:dyDescent="0.25">
      <c r="B21" s="5" t="s">
        <v>14</v>
      </c>
      <c r="K21" s="6"/>
      <c r="M21" s="5" t="s">
        <v>15</v>
      </c>
      <c r="V21" s="6"/>
    </row>
    <row r="22" spans="2:22" s="1" customFormat="1" x14ac:dyDescent="0.25">
      <c r="B22" s="5" t="s">
        <v>0</v>
      </c>
      <c r="C22" s="1" t="s">
        <v>3</v>
      </c>
      <c r="D22" s="7" t="s">
        <v>4</v>
      </c>
      <c r="E22" s="7" t="s">
        <v>5</v>
      </c>
      <c r="F22" s="7" t="s">
        <v>6</v>
      </c>
      <c r="G22" s="7" t="s">
        <v>7</v>
      </c>
      <c r="H22" s="7" t="s">
        <v>8</v>
      </c>
      <c r="I22" s="7" t="s">
        <v>9</v>
      </c>
      <c r="J22" s="7" t="s">
        <v>10</v>
      </c>
      <c r="K22" s="8" t="s">
        <v>11</v>
      </c>
      <c r="M22" s="5" t="s">
        <v>0</v>
      </c>
      <c r="N22" s="1" t="s">
        <v>3</v>
      </c>
      <c r="O22" s="7" t="s">
        <v>4</v>
      </c>
      <c r="P22" s="7" t="s">
        <v>5</v>
      </c>
      <c r="Q22" s="7" t="s">
        <v>6</v>
      </c>
      <c r="R22" s="7" t="s">
        <v>7</v>
      </c>
      <c r="S22" s="7" t="s">
        <v>8</v>
      </c>
      <c r="T22" s="7" t="s">
        <v>9</v>
      </c>
      <c r="U22" s="7" t="s">
        <v>10</v>
      </c>
      <c r="V22" s="8" t="s">
        <v>11</v>
      </c>
    </row>
    <row r="23" spans="2:22" x14ac:dyDescent="0.25">
      <c r="B23" s="5">
        <v>0</v>
      </c>
      <c r="C23">
        <v>33046</v>
      </c>
      <c r="D23" s="2">
        <v>80.821939999999998</v>
      </c>
      <c r="E23" s="2">
        <v>214.12090000000001</v>
      </c>
      <c r="F23" s="2">
        <v>196.7696</v>
      </c>
      <c r="G23" s="2">
        <v>219.65880000000001</v>
      </c>
      <c r="H23" s="2">
        <v>189.31979999999999</v>
      </c>
      <c r="I23" s="2">
        <v>203.87520000000001</v>
      </c>
      <c r="J23" s="2">
        <v>620.01189999999997</v>
      </c>
      <c r="K23" s="6">
        <v>572.64239999999995</v>
      </c>
      <c r="M23" s="5">
        <v>0</v>
      </c>
      <c r="N23">
        <v>10933</v>
      </c>
      <c r="O23" s="2">
        <v>99.795919999999995</v>
      </c>
      <c r="P23" s="2">
        <v>132.7527</v>
      </c>
      <c r="Q23" s="2">
        <v>105.1322</v>
      </c>
      <c r="R23" s="2">
        <v>134.23859999999999</v>
      </c>
      <c r="S23" s="2">
        <v>102.0441</v>
      </c>
      <c r="T23" s="2">
        <v>116.4375</v>
      </c>
      <c r="U23" s="2">
        <v>624.01800000000003</v>
      </c>
      <c r="V23" s="6">
        <v>551.70360000000005</v>
      </c>
    </row>
    <row r="24" spans="2:22" x14ac:dyDescent="0.25">
      <c r="B24" s="5">
        <v>12</v>
      </c>
      <c r="C24">
        <v>41672</v>
      </c>
      <c r="D24" s="2">
        <v>85.381410000000002</v>
      </c>
      <c r="E24" s="2">
        <v>239.72020000000001</v>
      </c>
      <c r="F24" s="2">
        <v>221.58420000000001</v>
      </c>
      <c r="G24" s="2">
        <v>246.0772</v>
      </c>
      <c r="H24" s="2">
        <v>216.05789999999999</v>
      </c>
      <c r="I24" s="2">
        <v>229.2722</v>
      </c>
      <c r="J24" s="2">
        <v>627.39620000000002</v>
      </c>
      <c r="K24" s="6">
        <v>569.07680000000005</v>
      </c>
      <c r="M24" s="5">
        <v>12</v>
      </c>
      <c r="N24">
        <v>13702</v>
      </c>
      <c r="O24" s="2">
        <v>64.865690000000001</v>
      </c>
      <c r="P24" s="2">
        <v>147.61170000000001</v>
      </c>
      <c r="Q24" s="2">
        <v>119.19670000000001</v>
      </c>
      <c r="R24" s="2">
        <v>152.0855</v>
      </c>
      <c r="S24" s="2">
        <v>114.0395</v>
      </c>
      <c r="T24" s="2">
        <v>130.37219999999999</v>
      </c>
      <c r="U24" s="2">
        <v>617.76890000000003</v>
      </c>
      <c r="V24" s="6">
        <v>547.13059999999996</v>
      </c>
    </row>
    <row r="25" spans="2:22" x14ac:dyDescent="0.25">
      <c r="B25" s="5">
        <v>24</v>
      </c>
      <c r="C25">
        <v>70236</v>
      </c>
      <c r="D25" s="2">
        <v>103.1568</v>
      </c>
      <c r="E25" s="2">
        <v>309.53280000000001</v>
      </c>
      <c r="F25" s="2">
        <v>289.6225</v>
      </c>
      <c r="G25" s="2">
        <v>323.01389999999998</v>
      </c>
      <c r="H25" s="2">
        <v>283.0865</v>
      </c>
      <c r="I25" s="2">
        <v>297.56950000000001</v>
      </c>
      <c r="J25" s="2">
        <v>629.02970000000005</v>
      </c>
      <c r="K25" s="6">
        <v>563.85950000000003</v>
      </c>
      <c r="M25" s="5">
        <v>24</v>
      </c>
      <c r="N25">
        <v>19459</v>
      </c>
      <c r="O25" s="2">
        <v>92.466700000000003</v>
      </c>
      <c r="P25" s="2">
        <v>169.7988</v>
      </c>
      <c r="Q25" s="2">
        <v>146.7655</v>
      </c>
      <c r="R25" s="2">
        <v>173.73830000000001</v>
      </c>
      <c r="S25" s="2">
        <v>138.2353</v>
      </c>
      <c r="T25" s="2">
        <v>156.09030000000001</v>
      </c>
      <c r="U25" s="2">
        <v>616.88120000000004</v>
      </c>
      <c r="V25" s="6">
        <v>535.52909999999997</v>
      </c>
    </row>
    <row r="26" spans="2:22" x14ac:dyDescent="0.25">
      <c r="B26" s="5">
        <v>36</v>
      </c>
      <c r="C26">
        <v>61780</v>
      </c>
      <c r="D26" s="2">
        <v>93.861459999999994</v>
      </c>
      <c r="E26" s="2">
        <v>289.9427</v>
      </c>
      <c r="F26" s="2">
        <v>271.72949999999997</v>
      </c>
      <c r="G26" s="2">
        <v>297.27089999999998</v>
      </c>
      <c r="H26" s="2">
        <v>264.87729999999999</v>
      </c>
      <c r="I26" s="2">
        <v>279.25959999999998</v>
      </c>
      <c r="J26" s="2">
        <v>627.52949999999998</v>
      </c>
      <c r="K26" s="6">
        <v>567.78210000000001</v>
      </c>
      <c r="M26" s="5">
        <v>36</v>
      </c>
      <c r="N26">
        <v>19002</v>
      </c>
      <c r="O26" s="2">
        <v>96.738190000000003</v>
      </c>
      <c r="P26" s="2">
        <v>166.53800000000001</v>
      </c>
      <c r="Q26" s="2">
        <v>145.6987</v>
      </c>
      <c r="R26" s="2">
        <v>168.00299999999999</v>
      </c>
      <c r="S26" s="2">
        <v>141.67570000000001</v>
      </c>
      <c r="T26" s="2">
        <v>154.33070000000001</v>
      </c>
      <c r="U26" s="2">
        <v>626.01070000000004</v>
      </c>
      <c r="V26" s="6">
        <v>542.63379999999995</v>
      </c>
    </row>
    <row r="27" spans="2:22" x14ac:dyDescent="0.25">
      <c r="B27" s="5">
        <v>48</v>
      </c>
      <c r="C27">
        <v>62424</v>
      </c>
      <c r="D27" s="2">
        <v>88.721329999999995</v>
      </c>
      <c r="E27" s="2">
        <v>296.83519999999999</v>
      </c>
      <c r="F27" s="2">
        <v>268.14859999999999</v>
      </c>
      <c r="G27" s="2">
        <v>302.91419999999999</v>
      </c>
      <c r="H27" s="2">
        <v>256.46249999999998</v>
      </c>
      <c r="I27" s="2">
        <v>280.66419999999999</v>
      </c>
      <c r="J27" s="2">
        <v>629.34849999999994</v>
      </c>
      <c r="K27" s="6">
        <v>573.44860000000006</v>
      </c>
      <c r="M27" s="5">
        <v>48</v>
      </c>
      <c r="N27">
        <v>15449</v>
      </c>
      <c r="O27" s="2">
        <v>137.87979999999999</v>
      </c>
      <c r="P27" s="2">
        <v>150.1677</v>
      </c>
      <c r="Q27" s="2">
        <v>131.46979999999999</v>
      </c>
      <c r="R27" s="2">
        <v>155.59559999999999</v>
      </c>
      <c r="S27" s="2">
        <v>125.67019999999999</v>
      </c>
      <c r="T27" s="2">
        <v>138.8569</v>
      </c>
      <c r="U27" s="2">
        <v>619.21619999999996</v>
      </c>
      <c r="V27" s="6">
        <v>535.94809999999995</v>
      </c>
    </row>
    <row r="28" spans="2:22" x14ac:dyDescent="0.25">
      <c r="B28" s="5"/>
      <c r="K28" s="6"/>
      <c r="M28" s="5"/>
      <c r="V28" s="6"/>
    </row>
    <row r="29" spans="2:22" x14ac:dyDescent="0.25">
      <c r="B29" s="14" t="s">
        <v>16</v>
      </c>
      <c r="C29" s="15"/>
      <c r="D29" s="16"/>
      <c r="E29" s="16"/>
      <c r="F29" s="16"/>
      <c r="G29" s="16"/>
      <c r="H29" s="16"/>
      <c r="I29" s="16"/>
      <c r="J29" s="16"/>
      <c r="K29" s="17"/>
      <c r="M29" s="14" t="s">
        <v>17</v>
      </c>
      <c r="N29" s="15"/>
      <c r="O29" s="16"/>
      <c r="P29" s="16"/>
      <c r="Q29" s="16"/>
      <c r="R29" s="16"/>
      <c r="S29" s="16"/>
      <c r="T29" s="16"/>
      <c r="U29" s="16"/>
      <c r="V29" s="17"/>
    </row>
    <row r="30" spans="2:22" s="1" customFormat="1" x14ac:dyDescent="0.25">
      <c r="B30" s="14" t="s">
        <v>0</v>
      </c>
      <c r="C30" s="18" t="s">
        <v>3</v>
      </c>
      <c r="D30" s="19" t="s">
        <v>4</v>
      </c>
      <c r="E30" s="19" t="s">
        <v>5</v>
      </c>
      <c r="F30" s="19" t="s">
        <v>6</v>
      </c>
      <c r="G30" s="19" t="s">
        <v>7</v>
      </c>
      <c r="H30" s="19" t="s">
        <v>8</v>
      </c>
      <c r="I30" s="19" t="s">
        <v>9</v>
      </c>
      <c r="J30" s="19" t="s">
        <v>10</v>
      </c>
      <c r="K30" s="20" t="s">
        <v>11</v>
      </c>
      <c r="M30" s="14" t="s">
        <v>0</v>
      </c>
      <c r="N30" s="18" t="s">
        <v>3</v>
      </c>
      <c r="O30" s="19" t="s">
        <v>4</v>
      </c>
      <c r="P30" s="19" t="s">
        <v>5</v>
      </c>
      <c r="Q30" s="19" t="s">
        <v>6</v>
      </c>
      <c r="R30" s="19" t="s">
        <v>7</v>
      </c>
      <c r="S30" s="19" t="s">
        <v>8</v>
      </c>
      <c r="T30" s="19" t="s">
        <v>9</v>
      </c>
      <c r="U30" s="19" t="s">
        <v>10</v>
      </c>
      <c r="V30" s="20" t="s">
        <v>11</v>
      </c>
    </row>
    <row r="31" spans="2:22" x14ac:dyDescent="0.25">
      <c r="B31" s="14">
        <v>0</v>
      </c>
      <c r="C31" s="15">
        <v>24195</v>
      </c>
      <c r="D31" s="16">
        <v>77.005489999999995</v>
      </c>
      <c r="E31" s="16">
        <v>195.3141</v>
      </c>
      <c r="F31" s="16">
        <v>161.01580000000001</v>
      </c>
      <c r="G31" s="16">
        <v>223.97319999999999</v>
      </c>
      <c r="H31" s="16">
        <v>149.56270000000001</v>
      </c>
      <c r="I31" s="16">
        <v>173.47710000000001</v>
      </c>
      <c r="J31" s="16">
        <v>661.58230000000003</v>
      </c>
      <c r="K31" s="17">
        <v>566.37929999999994</v>
      </c>
      <c r="M31" s="14">
        <v>0</v>
      </c>
      <c r="N31" s="15">
        <v>7916</v>
      </c>
      <c r="O31" s="16">
        <v>57.688279999999999</v>
      </c>
      <c r="P31" s="16">
        <v>104.1581</v>
      </c>
      <c r="Q31" s="16">
        <v>97.196690000000004</v>
      </c>
      <c r="R31" s="16">
        <v>107.48950000000001</v>
      </c>
      <c r="S31" s="16">
        <v>85.866169999999997</v>
      </c>
      <c r="T31" s="16">
        <v>99.246729999999999</v>
      </c>
      <c r="U31" s="16">
        <v>663.30470000000003</v>
      </c>
      <c r="V31" s="17">
        <v>566.63040000000001</v>
      </c>
    </row>
    <row r="32" spans="2:22" x14ac:dyDescent="0.25">
      <c r="B32" s="14">
        <v>12</v>
      </c>
      <c r="C32" s="15">
        <v>38892</v>
      </c>
      <c r="D32" s="16">
        <v>96.616749999999996</v>
      </c>
      <c r="E32" s="16">
        <v>231.30879999999999</v>
      </c>
      <c r="F32" s="16">
        <v>216.58410000000001</v>
      </c>
      <c r="G32" s="16">
        <v>250.06</v>
      </c>
      <c r="H32" s="16">
        <v>202.4846</v>
      </c>
      <c r="I32" s="16">
        <v>220.8973</v>
      </c>
      <c r="J32" s="16">
        <v>665.02290000000005</v>
      </c>
      <c r="K32" s="17">
        <v>556.04600000000005</v>
      </c>
      <c r="M32" s="14">
        <v>12</v>
      </c>
      <c r="N32" s="15">
        <v>11484</v>
      </c>
      <c r="O32" s="16">
        <v>12.27717</v>
      </c>
      <c r="P32" s="16">
        <v>123.8728</v>
      </c>
      <c r="Q32" s="16">
        <v>118.5964</v>
      </c>
      <c r="R32" s="16">
        <v>127.9414</v>
      </c>
      <c r="S32" s="16">
        <v>107.28</v>
      </c>
      <c r="T32" s="16">
        <v>119.6692</v>
      </c>
      <c r="U32" s="16">
        <v>646.12990000000002</v>
      </c>
      <c r="V32" s="17">
        <v>552.43539999999996</v>
      </c>
    </row>
    <row r="33" spans="2:22" x14ac:dyDescent="0.25">
      <c r="B33" s="14">
        <v>24</v>
      </c>
      <c r="C33" s="15">
        <v>55345</v>
      </c>
      <c r="D33" s="16">
        <v>23.334540000000001</v>
      </c>
      <c r="E33" s="16">
        <v>271.28699999999998</v>
      </c>
      <c r="F33" s="16">
        <v>260.48059999999998</v>
      </c>
      <c r="G33" s="16">
        <v>279.589</v>
      </c>
      <c r="H33" s="16">
        <v>238.05250000000001</v>
      </c>
      <c r="I33" s="16">
        <v>264.17079999999999</v>
      </c>
      <c r="J33" s="16">
        <v>660.83889999999997</v>
      </c>
      <c r="K33" s="17">
        <v>559.89980000000003</v>
      </c>
      <c r="M33" s="14">
        <v>24</v>
      </c>
      <c r="N33" s="15">
        <v>12947</v>
      </c>
      <c r="O33" s="16">
        <v>106.1722</v>
      </c>
      <c r="P33" s="16">
        <v>135.38659999999999</v>
      </c>
      <c r="Q33" s="16">
        <v>122.4965</v>
      </c>
      <c r="R33" s="16">
        <v>143.13630000000001</v>
      </c>
      <c r="S33" s="16">
        <v>115.434</v>
      </c>
      <c r="T33" s="16">
        <v>127.139</v>
      </c>
      <c r="U33" s="16">
        <v>634.72609999999997</v>
      </c>
      <c r="V33" s="17">
        <v>553.19129999999996</v>
      </c>
    </row>
    <row r="34" spans="2:22" x14ac:dyDescent="0.25">
      <c r="B34" s="14">
        <v>36</v>
      </c>
      <c r="C34" s="15">
        <v>55803</v>
      </c>
      <c r="D34" s="16">
        <v>31.409590000000001</v>
      </c>
      <c r="E34" s="16">
        <v>273.40480000000002</v>
      </c>
      <c r="F34" s="16">
        <v>260.4366</v>
      </c>
      <c r="G34" s="16">
        <v>277.59679999999997</v>
      </c>
      <c r="H34" s="16">
        <v>248.6524</v>
      </c>
      <c r="I34" s="16">
        <v>265.33100000000002</v>
      </c>
      <c r="J34" s="16">
        <v>661.02919999999995</v>
      </c>
      <c r="K34" s="17">
        <v>561.08309999999994</v>
      </c>
      <c r="M34" s="14">
        <v>36</v>
      </c>
      <c r="N34" s="15">
        <v>10968</v>
      </c>
      <c r="O34" s="16">
        <v>122.01260000000001</v>
      </c>
      <c r="P34" s="16">
        <v>120.5705</v>
      </c>
      <c r="Q34" s="16">
        <v>116.4092</v>
      </c>
      <c r="R34" s="16">
        <v>126.8109</v>
      </c>
      <c r="S34" s="16">
        <v>106.8878</v>
      </c>
      <c r="T34" s="16">
        <v>116.9982</v>
      </c>
      <c r="U34" s="16">
        <v>640.44190000000003</v>
      </c>
      <c r="V34" s="17">
        <v>565.12869999999998</v>
      </c>
    </row>
    <row r="35" spans="2:22" x14ac:dyDescent="0.25">
      <c r="B35" s="14">
        <v>48</v>
      </c>
      <c r="C35" s="15">
        <v>53939</v>
      </c>
      <c r="D35" s="16">
        <v>17.45797</v>
      </c>
      <c r="E35" s="16">
        <v>266.06229999999999</v>
      </c>
      <c r="F35" s="16">
        <v>258.68959999999998</v>
      </c>
      <c r="G35" s="16">
        <v>275.40879999999999</v>
      </c>
      <c r="H35" s="16">
        <v>243.0514</v>
      </c>
      <c r="I35" s="16">
        <v>260.6454</v>
      </c>
      <c r="J35" s="16">
        <v>660.63289999999995</v>
      </c>
      <c r="K35" s="17">
        <v>565.99239999999998</v>
      </c>
      <c r="M35" s="14">
        <v>48</v>
      </c>
      <c r="N35" s="15">
        <v>10913</v>
      </c>
      <c r="O35" s="16">
        <v>16.242429999999999</v>
      </c>
      <c r="P35" s="16">
        <v>123.3165</v>
      </c>
      <c r="Q35" s="16">
        <v>113.59569999999999</v>
      </c>
      <c r="R35" s="16">
        <v>127.8828</v>
      </c>
      <c r="S35" s="16">
        <v>103.6195</v>
      </c>
      <c r="T35" s="16">
        <v>116.5551</v>
      </c>
      <c r="U35" s="16">
        <v>649.91930000000002</v>
      </c>
      <c r="V35" s="17">
        <v>558.25429999999994</v>
      </c>
    </row>
    <row r="36" spans="2:22" x14ac:dyDescent="0.25">
      <c r="B36" s="5"/>
      <c r="K36" s="6"/>
      <c r="M36" s="5"/>
      <c r="V36" s="6"/>
    </row>
    <row r="37" spans="2:22" x14ac:dyDescent="0.25">
      <c r="B37" s="5" t="s">
        <v>18</v>
      </c>
      <c r="K37" s="6"/>
      <c r="M37" s="5" t="s">
        <v>19</v>
      </c>
      <c r="V37" s="6"/>
    </row>
    <row r="38" spans="2:22" s="1" customFormat="1" x14ac:dyDescent="0.25">
      <c r="B38" s="5" t="s">
        <v>0</v>
      </c>
      <c r="C38" s="1" t="s">
        <v>3</v>
      </c>
      <c r="D38" s="7" t="s">
        <v>4</v>
      </c>
      <c r="E38" s="7" t="s">
        <v>5</v>
      </c>
      <c r="F38" s="7" t="s">
        <v>6</v>
      </c>
      <c r="G38" s="7" t="s">
        <v>7</v>
      </c>
      <c r="H38" s="7" t="s">
        <v>8</v>
      </c>
      <c r="I38" s="7" t="s">
        <v>9</v>
      </c>
      <c r="J38" s="7" t="s">
        <v>10</v>
      </c>
      <c r="K38" s="8" t="s">
        <v>11</v>
      </c>
      <c r="M38" s="5" t="s">
        <v>0</v>
      </c>
      <c r="N38" s="1" t="s">
        <v>3</v>
      </c>
      <c r="O38" s="7" t="s">
        <v>4</v>
      </c>
      <c r="P38" s="7" t="s">
        <v>5</v>
      </c>
      <c r="Q38" s="7" t="s">
        <v>6</v>
      </c>
      <c r="R38" s="7" t="s">
        <v>7</v>
      </c>
      <c r="S38" s="7" t="s">
        <v>8</v>
      </c>
      <c r="T38" s="7" t="s">
        <v>9</v>
      </c>
      <c r="U38" s="7" t="s">
        <v>10</v>
      </c>
      <c r="V38" s="8" t="s">
        <v>11</v>
      </c>
    </row>
    <row r="39" spans="2:22" x14ac:dyDescent="0.25">
      <c r="B39" s="5">
        <v>0</v>
      </c>
      <c r="C39">
        <v>24881</v>
      </c>
      <c r="D39" s="2">
        <v>82.966650000000001</v>
      </c>
      <c r="E39" s="2">
        <v>186.1781</v>
      </c>
      <c r="F39" s="2">
        <v>170.31809999999999</v>
      </c>
      <c r="G39" s="2">
        <v>190.80090000000001</v>
      </c>
      <c r="H39" s="2">
        <v>166.37309999999999</v>
      </c>
      <c r="I39" s="2">
        <v>176.86609999999999</v>
      </c>
      <c r="J39" s="2">
        <v>688.64089999999999</v>
      </c>
      <c r="K39" s="6">
        <v>488.43819999999999</v>
      </c>
      <c r="M39" s="5">
        <v>0</v>
      </c>
      <c r="N39">
        <v>6044</v>
      </c>
      <c r="O39" s="2">
        <v>59.639809999999997</v>
      </c>
      <c r="P39" s="2">
        <v>92.141080000000002</v>
      </c>
      <c r="Q39" s="2">
        <v>84.213759999999994</v>
      </c>
      <c r="R39" s="2">
        <v>95.603350000000006</v>
      </c>
      <c r="S39" s="2">
        <v>77.935869999999994</v>
      </c>
      <c r="T39" s="2">
        <v>86.68526</v>
      </c>
      <c r="U39" s="2">
        <v>686.12490000000003</v>
      </c>
      <c r="V39" s="6">
        <v>475.30939999999998</v>
      </c>
    </row>
    <row r="40" spans="2:22" x14ac:dyDescent="0.25">
      <c r="B40" s="5">
        <v>12</v>
      </c>
      <c r="C40">
        <v>44426</v>
      </c>
      <c r="D40" s="2">
        <v>176.6848</v>
      </c>
      <c r="E40" s="2">
        <v>247.06890000000001</v>
      </c>
      <c r="F40" s="2">
        <v>229.62309999999999</v>
      </c>
      <c r="G40" s="2">
        <v>257.41019999999997</v>
      </c>
      <c r="H40" s="2">
        <v>220.49260000000001</v>
      </c>
      <c r="I40" s="2">
        <v>236.79079999999999</v>
      </c>
      <c r="J40" s="2">
        <v>693.51689999999996</v>
      </c>
      <c r="K40" s="6">
        <v>484.28919999999999</v>
      </c>
      <c r="M40" s="5">
        <v>12</v>
      </c>
      <c r="N40">
        <v>9644</v>
      </c>
      <c r="O40" s="2">
        <v>179.04580000000001</v>
      </c>
      <c r="P40" s="2">
        <v>116.5865</v>
      </c>
      <c r="Q40" s="2">
        <v>106.0462</v>
      </c>
      <c r="R40" s="2">
        <v>120.9297</v>
      </c>
      <c r="S40" s="2">
        <v>99.322710000000001</v>
      </c>
      <c r="T40" s="2">
        <v>109.5543</v>
      </c>
      <c r="U40" s="2">
        <v>709.50009999999997</v>
      </c>
      <c r="V40" s="6">
        <v>467.43040000000002</v>
      </c>
    </row>
    <row r="41" spans="2:22" x14ac:dyDescent="0.25">
      <c r="B41" s="5">
        <v>24</v>
      </c>
      <c r="C41">
        <v>62516</v>
      </c>
      <c r="D41" s="2">
        <v>172.3416</v>
      </c>
      <c r="E41" s="2">
        <v>292.42320000000001</v>
      </c>
      <c r="F41" s="2">
        <v>272.99029999999999</v>
      </c>
      <c r="G41" s="2">
        <v>301.00670000000002</v>
      </c>
      <c r="H41" s="2">
        <v>258.52080000000001</v>
      </c>
      <c r="I41" s="2">
        <v>280.67529999999999</v>
      </c>
      <c r="J41" s="2">
        <v>697.26570000000004</v>
      </c>
      <c r="K41" s="6">
        <v>488.72899999999998</v>
      </c>
      <c r="M41" s="5">
        <v>24</v>
      </c>
      <c r="N41">
        <v>17070</v>
      </c>
      <c r="O41" s="2">
        <v>124.2539</v>
      </c>
      <c r="P41" s="2">
        <v>153.7107</v>
      </c>
      <c r="Q41" s="2">
        <v>141.8646</v>
      </c>
      <c r="R41" s="2">
        <v>159.05029999999999</v>
      </c>
      <c r="S41" s="2">
        <v>136.41849999999999</v>
      </c>
      <c r="T41" s="2">
        <v>146.28219999999999</v>
      </c>
      <c r="U41" s="2">
        <v>713.16959999999995</v>
      </c>
      <c r="V41" s="6">
        <v>474.88929999999999</v>
      </c>
    </row>
    <row r="42" spans="2:22" x14ac:dyDescent="0.25">
      <c r="B42" s="5">
        <v>36</v>
      </c>
      <c r="C42">
        <v>57683</v>
      </c>
      <c r="D42" s="2">
        <v>172.79329999999999</v>
      </c>
      <c r="E42" s="2">
        <v>275.8039</v>
      </c>
      <c r="F42" s="2">
        <v>266.8501</v>
      </c>
      <c r="G42" s="2">
        <v>283.80450000000002</v>
      </c>
      <c r="H42" s="2">
        <v>256.47030000000001</v>
      </c>
      <c r="I42" s="2">
        <v>269.58530000000002</v>
      </c>
      <c r="J42" s="2">
        <v>694.07299999999998</v>
      </c>
      <c r="K42" s="6">
        <v>486.57</v>
      </c>
      <c r="M42" s="5">
        <v>36</v>
      </c>
      <c r="N42">
        <v>15215</v>
      </c>
      <c r="O42" s="2">
        <v>58.552039999999998</v>
      </c>
      <c r="P42" s="2">
        <v>152.53290000000001</v>
      </c>
      <c r="Q42" s="2">
        <v>127.82850000000001</v>
      </c>
      <c r="R42" s="2">
        <v>164.65719999999999</v>
      </c>
      <c r="S42" s="2">
        <v>121.4949</v>
      </c>
      <c r="T42" s="2">
        <v>137.7312</v>
      </c>
      <c r="U42" s="2">
        <v>707.78139999999996</v>
      </c>
      <c r="V42" s="6">
        <v>483.5951</v>
      </c>
    </row>
    <row r="43" spans="2:22" x14ac:dyDescent="0.25">
      <c r="B43" s="5">
        <v>48</v>
      </c>
      <c r="C43">
        <v>54466</v>
      </c>
      <c r="D43" s="2">
        <v>173.99709999999999</v>
      </c>
      <c r="E43" s="2">
        <v>270.18009999999998</v>
      </c>
      <c r="F43" s="2">
        <v>257.14030000000002</v>
      </c>
      <c r="G43" s="2">
        <v>278.1259</v>
      </c>
      <c r="H43" s="2">
        <v>248.84530000000001</v>
      </c>
      <c r="I43" s="2">
        <v>262.07170000000002</v>
      </c>
      <c r="J43" s="2">
        <v>693.93769999999995</v>
      </c>
      <c r="K43" s="6">
        <v>489.41050000000001</v>
      </c>
      <c r="M43" s="5">
        <v>48</v>
      </c>
      <c r="N43">
        <v>17324</v>
      </c>
      <c r="O43" s="2">
        <v>108.80589999999999</v>
      </c>
      <c r="P43" s="2">
        <v>157.59979999999999</v>
      </c>
      <c r="Q43" s="2">
        <v>140.36600000000001</v>
      </c>
      <c r="R43" s="2">
        <v>161.9691</v>
      </c>
      <c r="S43" s="2">
        <v>135.2997</v>
      </c>
      <c r="T43" s="2">
        <v>147.33629999999999</v>
      </c>
      <c r="U43" s="2">
        <v>708.98630000000003</v>
      </c>
      <c r="V43" s="6">
        <v>487.50599999999997</v>
      </c>
    </row>
    <row r="44" spans="2:22" x14ac:dyDescent="0.25">
      <c r="B44" s="5"/>
      <c r="K44" s="6"/>
      <c r="M44" s="5"/>
      <c r="V44" s="6"/>
    </row>
    <row r="45" spans="2:22" x14ac:dyDescent="0.25">
      <c r="B45" s="14" t="s">
        <v>20</v>
      </c>
      <c r="C45" s="15"/>
      <c r="D45" s="16"/>
      <c r="E45" s="16"/>
      <c r="F45" s="16"/>
      <c r="G45" s="16"/>
      <c r="H45" s="16"/>
      <c r="I45" s="16"/>
      <c r="J45" s="16"/>
      <c r="K45" s="17"/>
      <c r="M45" s="14" t="s">
        <v>21</v>
      </c>
      <c r="N45" s="15"/>
      <c r="O45" s="16"/>
      <c r="P45" s="16"/>
      <c r="Q45" s="16"/>
      <c r="R45" s="16"/>
      <c r="S45" s="16"/>
      <c r="T45" s="16"/>
      <c r="U45" s="16"/>
      <c r="V45" s="17"/>
    </row>
    <row r="46" spans="2:22" s="1" customFormat="1" x14ac:dyDescent="0.25">
      <c r="B46" s="14" t="s">
        <v>0</v>
      </c>
      <c r="C46" s="18" t="s">
        <v>3</v>
      </c>
      <c r="D46" s="19" t="s">
        <v>4</v>
      </c>
      <c r="E46" s="19" t="s">
        <v>5</v>
      </c>
      <c r="F46" s="19" t="s">
        <v>6</v>
      </c>
      <c r="G46" s="19" t="s">
        <v>7</v>
      </c>
      <c r="H46" s="19" t="s">
        <v>8</v>
      </c>
      <c r="I46" s="19" t="s">
        <v>9</v>
      </c>
      <c r="J46" s="19" t="s">
        <v>10</v>
      </c>
      <c r="K46" s="20" t="s">
        <v>11</v>
      </c>
      <c r="M46" s="14" t="s">
        <v>0</v>
      </c>
      <c r="N46" s="18" t="s">
        <v>3</v>
      </c>
      <c r="O46" s="19" t="s">
        <v>4</v>
      </c>
      <c r="P46" s="19" t="s">
        <v>5</v>
      </c>
      <c r="Q46" s="19" t="s">
        <v>6</v>
      </c>
      <c r="R46" s="19" t="s">
        <v>7</v>
      </c>
      <c r="S46" s="19" t="s">
        <v>8</v>
      </c>
      <c r="T46" s="19" t="s">
        <v>9</v>
      </c>
      <c r="U46" s="19" t="s">
        <v>10</v>
      </c>
      <c r="V46" s="20" t="s">
        <v>11</v>
      </c>
    </row>
    <row r="47" spans="2:22" x14ac:dyDescent="0.25">
      <c r="B47" s="14">
        <v>0</v>
      </c>
      <c r="C47" s="15">
        <v>17766</v>
      </c>
      <c r="D47" s="16">
        <v>162.9699</v>
      </c>
      <c r="E47" s="16">
        <v>163.3903</v>
      </c>
      <c r="F47" s="16">
        <v>140.4906</v>
      </c>
      <c r="G47" s="16">
        <v>165.1302</v>
      </c>
      <c r="H47" s="16">
        <v>133.64510000000001</v>
      </c>
      <c r="I47" s="16">
        <v>148.58619999999999</v>
      </c>
      <c r="J47" s="16">
        <v>631.38959999999997</v>
      </c>
      <c r="K47" s="17">
        <v>541.65809999999999</v>
      </c>
      <c r="M47" s="14">
        <v>0</v>
      </c>
      <c r="N47" s="15">
        <v>5734</v>
      </c>
      <c r="O47" s="16">
        <v>131.03299999999999</v>
      </c>
      <c r="P47" s="16">
        <v>96.255369999999999</v>
      </c>
      <c r="Q47" s="16">
        <v>76.897949999999994</v>
      </c>
      <c r="R47" s="16">
        <v>96.772930000000002</v>
      </c>
      <c r="S47" s="16">
        <v>67.601780000000005</v>
      </c>
      <c r="T47" s="16">
        <v>83.777959999999993</v>
      </c>
      <c r="U47" s="16">
        <v>622.20180000000005</v>
      </c>
      <c r="V47" s="17">
        <v>544.79160000000002</v>
      </c>
    </row>
    <row r="48" spans="2:22" x14ac:dyDescent="0.25">
      <c r="B48" s="14">
        <v>12</v>
      </c>
      <c r="C48" s="15">
        <v>33203</v>
      </c>
      <c r="D48" s="16">
        <v>20.101369999999999</v>
      </c>
      <c r="E48" s="16">
        <v>212.1104</v>
      </c>
      <c r="F48" s="16">
        <v>199.92789999999999</v>
      </c>
      <c r="G48" s="16">
        <v>217.0829</v>
      </c>
      <c r="H48" s="16">
        <v>185.95160000000001</v>
      </c>
      <c r="I48" s="16">
        <v>204.45480000000001</v>
      </c>
      <c r="J48" s="16">
        <v>630.33360000000005</v>
      </c>
      <c r="K48" s="17">
        <v>555.79160000000002</v>
      </c>
      <c r="M48" s="14">
        <v>12</v>
      </c>
      <c r="N48" s="15">
        <v>11293</v>
      </c>
      <c r="O48" s="16">
        <v>31.402899999999999</v>
      </c>
      <c r="P48" s="16">
        <v>126.2654</v>
      </c>
      <c r="Q48" s="16">
        <v>114.5412</v>
      </c>
      <c r="R48" s="16">
        <v>131.244</v>
      </c>
      <c r="S48" s="16">
        <v>103.31019999999999</v>
      </c>
      <c r="T48" s="16">
        <v>118.6669</v>
      </c>
      <c r="U48" s="16">
        <v>628.69939999999997</v>
      </c>
      <c r="V48" s="17">
        <v>543.64689999999996</v>
      </c>
    </row>
    <row r="49" spans="2:22" x14ac:dyDescent="0.25">
      <c r="B49" s="14">
        <v>24</v>
      </c>
      <c r="C49" s="15">
        <v>52114</v>
      </c>
      <c r="D49" s="16">
        <v>2.0093190000000001</v>
      </c>
      <c r="E49" s="16">
        <v>273.43779999999998</v>
      </c>
      <c r="F49" s="16">
        <v>243.19210000000001</v>
      </c>
      <c r="G49" s="16">
        <v>282.70830000000001</v>
      </c>
      <c r="H49" s="16">
        <v>231.76929999999999</v>
      </c>
      <c r="I49" s="16">
        <v>256.13589999999999</v>
      </c>
      <c r="J49" s="16">
        <v>633.13840000000005</v>
      </c>
      <c r="K49" s="17">
        <v>556.29340000000002</v>
      </c>
      <c r="M49" s="14">
        <v>24</v>
      </c>
      <c r="N49" s="15">
        <v>18547</v>
      </c>
      <c r="O49" s="16">
        <v>128.86949999999999</v>
      </c>
      <c r="P49" s="16">
        <v>167.70439999999999</v>
      </c>
      <c r="Q49" s="16">
        <v>141.17830000000001</v>
      </c>
      <c r="R49" s="16">
        <v>175.07140000000001</v>
      </c>
      <c r="S49" s="16">
        <v>133.64510000000001</v>
      </c>
      <c r="T49" s="16">
        <v>152.2911</v>
      </c>
      <c r="U49" s="16">
        <v>645.91570000000002</v>
      </c>
      <c r="V49" s="17">
        <v>531.73540000000003</v>
      </c>
    </row>
    <row r="50" spans="2:22" x14ac:dyDescent="0.25">
      <c r="B50" s="14">
        <v>36</v>
      </c>
      <c r="C50" s="15">
        <v>46405</v>
      </c>
      <c r="D50" s="16">
        <v>163.7595</v>
      </c>
      <c r="E50" s="16">
        <v>253.9649</v>
      </c>
      <c r="F50" s="16">
        <v>233.2355</v>
      </c>
      <c r="G50" s="16">
        <v>263.6096</v>
      </c>
      <c r="H50" s="16">
        <v>225.49950000000001</v>
      </c>
      <c r="I50" s="16">
        <v>241.86019999999999</v>
      </c>
      <c r="J50" s="16">
        <v>637.47280000000001</v>
      </c>
      <c r="K50" s="17">
        <v>560.47919999999999</v>
      </c>
      <c r="M50" s="14">
        <v>36</v>
      </c>
      <c r="N50" s="15">
        <v>12998</v>
      </c>
      <c r="O50" s="16">
        <v>44.961559999999999</v>
      </c>
      <c r="P50" s="16">
        <v>155.05889999999999</v>
      </c>
      <c r="Q50" s="16">
        <v>110.27209999999999</v>
      </c>
      <c r="R50" s="16">
        <v>161.18620000000001</v>
      </c>
      <c r="S50" s="16">
        <v>93.059119999999993</v>
      </c>
      <c r="T50" s="16">
        <v>125.41759999999999</v>
      </c>
      <c r="U50" s="16">
        <v>631.34050000000002</v>
      </c>
      <c r="V50" s="17">
        <v>562.40110000000004</v>
      </c>
    </row>
    <row r="51" spans="2:22" x14ac:dyDescent="0.25">
      <c r="B51" s="14">
        <v>48</v>
      </c>
      <c r="C51" s="15">
        <v>48054</v>
      </c>
      <c r="D51" s="16">
        <v>172.8578</v>
      </c>
      <c r="E51" s="16">
        <v>260.08179999999999</v>
      </c>
      <c r="F51" s="16">
        <v>235.8458</v>
      </c>
      <c r="G51" s="16">
        <v>266.85199999999998</v>
      </c>
      <c r="H51" s="16">
        <v>225.47059999999999</v>
      </c>
      <c r="I51" s="16">
        <v>246.02250000000001</v>
      </c>
      <c r="J51" s="16">
        <v>632.02470000000005</v>
      </c>
      <c r="K51" s="17">
        <v>566.76319999999998</v>
      </c>
      <c r="M51" s="14">
        <v>48</v>
      </c>
      <c r="N51" s="15">
        <v>11083</v>
      </c>
      <c r="O51" s="16">
        <v>91.63749</v>
      </c>
      <c r="P51" s="16">
        <v>132.20009999999999</v>
      </c>
      <c r="Q51" s="16">
        <v>109.624</v>
      </c>
      <c r="R51" s="16">
        <v>145.4991</v>
      </c>
      <c r="S51" s="16">
        <v>99.488690000000005</v>
      </c>
      <c r="T51" s="16">
        <v>116.6932</v>
      </c>
      <c r="U51" s="16">
        <v>643.09490000000005</v>
      </c>
      <c r="V51" s="17">
        <v>552.61569999999995</v>
      </c>
    </row>
    <row r="52" spans="2:22" x14ac:dyDescent="0.25">
      <c r="B52" s="5"/>
      <c r="K52" s="6"/>
      <c r="M52" s="5"/>
      <c r="V52" s="6"/>
    </row>
    <row r="53" spans="2:22" x14ac:dyDescent="0.25">
      <c r="B53" s="5" t="s">
        <v>22</v>
      </c>
      <c r="K53" s="6"/>
      <c r="M53" s="5" t="s">
        <v>23</v>
      </c>
      <c r="V53" s="6"/>
    </row>
    <row r="54" spans="2:22" s="1" customFormat="1" x14ac:dyDescent="0.25">
      <c r="B54" s="5" t="s">
        <v>0</v>
      </c>
      <c r="C54" s="1" t="s">
        <v>3</v>
      </c>
      <c r="D54" s="7" t="s">
        <v>4</v>
      </c>
      <c r="E54" s="7" t="s">
        <v>5</v>
      </c>
      <c r="F54" s="7" t="s">
        <v>6</v>
      </c>
      <c r="G54" s="7" t="s">
        <v>7</v>
      </c>
      <c r="H54" s="7" t="s">
        <v>8</v>
      </c>
      <c r="I54" s="7" t="s">
        <v>9</v>
      </c>
      <c r="J54" s="7" t="s">
        <v>10</v>
      </c>
      <c r="K54" s="8" t="s">
        <v>11</v>
      </c>
      <c r="M54" s="5" t="s">
        <v>0</v>
      </c>
      <c r="N54" s="1" t="s">
        <v>3</v>
      </c>
      <c r="O54" s="7" t="s">
        <v>4</v>
      </c>
      <c r="P54" s="7" t="s">
        <v>5</v>
      </c>
      <c r="Q54" s="7" t="s">
        <v>6</v>
      </c>
      <c r="R54" s="7" t="s">
        <v>7</v>
      </c>
      <c r="S54" s="7" t="s">
        <v>8</v>
      </c>
      <c r="T54" s="7" t="s">
        <v>9</v>
      </c>
      <c r="U54" s="7" t="s">
        <v>10</v>
      </c>
      <c r="V54" s="8" t="s">
        <v>11</v>
      </c>
    </row>
    <row r="55" spans="2:22" x14ac:dyDescent="0.25">
      <c r="B55" s="5">
        <v>0</v>
      </c>
      <c r="C55">
        <v>23707</v>
      </c>
      <c r="D55" s="2">
        <v>172.21369999999999</v>
      </c>
      <c r="E55" s="2">
        <v>187.03720000000001</v>
      </c>
      <c r="F55" s="2">
        <v>162.06229999999999</v>
      </c>
      <c r="G55" s="2">
        <v>200.2124</v>
      </c>
      <c r="H55" s="2">
        <v>156.89490000000001</v>
      </c>
      <c r="I55" s="2">
        <v>172.33869999999999</v>
      </c>
      <c r="J55" s="2">
        <v>630.33280000000002</v>
      </c>
      <c r="K55" s="6">
        <v>515.95420000000001</v>
      </c>
      <c r="M55" s="5">
        <v>0</v>
      </c>
      <c r="N55">
        <v>11633</v>
      </c>
      <c r="O55" s="2">
        <v>8.5884160000000005</v>
      </c>
      <c r="P55" s="2">
        <v>125.76179999999999</v>
      </c>
      <c r="Q55" s="2">
        <v>118.1853</v>
      </c>
      <c r="R55" s="2">
        <v>129.55690000000001</v>
      </c>
      <c r="S55" s="2">
        <v>110.6797</v>
      </c>
      <c r="T55" s="2">
        <v>120.6139</v>
      </c>
      <c r="U55" s="2">
        <v>629.64070000000004</v>
      </c>
      <c r="V55" s="6">
        <v>502.31349999999998</v>
      </c>
    </row>
    <row r="56" spans="2:22" x14ac:dyDescent="0.25">
      <c r="B56" s="5">
        <v>12</v>
      </c>
      <c r="C56">
        <v>39410</v>
      </c>
      <c r="D56" s="2">
        <v>127.8389</v>
      </c>
      <c r="E56" s="2">
        <v>230.88409999999999</v>
      </c>
      <c r="F56" s="2">
        <v>217.54169999999999</v>
      </c>
      <c r="G56" s="2">
        <v>238.29599999999999</v>
      </c>
      <c r="H56" s="2">
        <v>211.87970000000001</v>
      </c>
      <c r="I56" s="2">
        <v>222.83279999999999</v>
      </c>
      <c r="J56" s="2">
        <v>630.75239999999997</v>
      </c>
      <c r="K56" s="6">
        <v>513.91859999999997</v>
      </c>
      <c r="M56" s="5">
        <v>12</v>
      </c>
      <c r="N56">
        <v>15471</v>
      </c>
      <c r="O56" s="2">
        <v>76.921480000000003</v>
      </c>
      <c r="P56" s="2">
        <v>152.9513</v>
      </c>
      <c r="Q56" s="2">
        <v>129.24109999999999</v>
      </c>
      <c r="R56" s="2">
        <v>158.9025</v>
      </c>
      <c r="S56" s="2">
        <v>124.3262</v>
      </c>
      <c r="T56" s="2">
        <v>138.9778</v>
      </c>
      <c r="U56" s="2">
        <v>628.15470000000005</v>
      </c>
      <c r="V56" s="6">
        <v>479.90699999999998</v>
      </c>
    </row>
    <row r="57" spans="2:22" x14ac:dyDescent="0.25">
      <c r="B57" s="5">
        <v>24</v>
      </c>
      <c r="C57">
        <v>64661</v>
      </c>
      <c r="D57" s="2">
        <v>123.66459999999999</v>
      </c>
      <c r="E57" s="2">
        <v>296.63630000000001</v>
      </c>
      <c r="F57" s="2">
        <v>277.82130000000001</v>
      </c>
      <c r="G57" s="2">
        <v>302.33260000000001</v>
      </c>
      <c r="H57" s="2">
        <v>265.76679999999999</v>
      </c>
      <c r="I57" s="2">
        <v>285.9307</v>
      </c>
      <c r="J57" s="2">
        <v>632.83010000000002</v>
      </c>
      <c r="K57" s="6">
        <v>517.32420000000002</v>
      </c>
      <c r="M57" s="5">
        <v>24</v>
      </c>
      <c r="N57">
        <v>17243</v>
      </c>
      <c r="O57" s="2">
        <v>101.0492</v>
      </c>
      <c r="P57" s="2">
        <v>157.9547</v>
      </c>
      <c r="Q57" s="2">
        <v>139.6241</v>
      </c>
      <c r="R57" s="2">
        <v>157.49289999999999</v>
      </c>
      <c r="S57" s="2">
        <v>129.55690000000001</v>
      </c>
      <c r="T57" s="2">
        <v>146.83519999999999</v>
      </c>
      <c r="U57" s="2">
        <v>637.58100000000002</v>
      </c>
      <c r="V57" s="6">
        <v>477.51600000000002</v>
      </c>
    </row>
    <row r="58" spans="2:22" x14ac:dyDescent="0.25">
      <c r="B58" s="5">
        <v>36</v>
      </c>
      <c r="C58">
        <v>65879</v>
      </c>
      <c r="D58" s="2">
        <v>132.7809</v>
      </c>
      <c r="E58" s="2">
        <v>300.44819999999999</v>
      </c>
      <c r="F58" s="2">
        <v>279.59160000000003</v>
      </c>
      <c r="G58" s="2">
        <v>315.03969999999998</v>
      </c>
      <c r="H58" s="2">
        <v>270.08330000000001</v>
      </c>
      <c r="I58" s="2">
        <v>288.29129999999998</v>
      </c>
      <c r="J58" s="2">
        <v>637.62239999999997</v>
      </c>
      <c r="K58" s="6">
        <v>523.6617</v>
      </c>
      <c r="M58" s="5">
        <v>36</v>
      </c>
      <c r="N58">
        <v>19632</v>
      </c>
      <c r="O58" s="2">
        <v>123.4661</v>
      </c>
      <c r="P58" s="2">
        <v>168.5035</v>
      </c>
      <c r="Q58" s="2">
        <v>149.5264</v>
      </c>
      <c r="R58" s="2">
        <v>177.25970000000001</v>
      </c>
      <c r="S58" s="2">
        <v>134.33170000000001</v>
      </c>
      <c r="T58" s="2">
        <v>156.6824</v>
      </c>
      <c r="U58" s="2">
        <v>645.40340000000003</v>
      </c>
      <c r="V58" s="6">
        <v>492.0256</v>
      </c>
    </row>
    <row r="59" spans="2:22" x14ac:dyDescent="0.25">
      <c r="B59" s="5">
        <v>48</v>
      </c>
      <c r="C59">
        <v>64768</v>
      </c>
      <c r="D59" s="2">
        <v>78.162909999999997</v>
      </c>
      <c r="E59" s="2">
        <v>292.3064</v>
      </c>
      <c r="F59" s="2">
        <v>282.62079999999997</v>
      </c>
      <c r="G59" s="2">
        <v>304.11349999999999</v>
      </c>
      <c r="H59" s="2">
        <v>270.00189999999998</v>
      </c>
      <c r="I59" s="2">
        <v>286.0865</v>
      </c>
      <c r="J59" s="2">
        <v>643.25760000000002</v>
      </c>
      <c r="K59" s="6">
        <v>526.53800000000001</v>
      </c>
      <c r="M59" s="5">
        <v>48</v>
      </c>
      <c r="N59">
        <v>19376</v>
      </c>
      <c r="O59" s="2">
        <v>110.1632</v>
      </c>
      <c r="P59" s="2">
        <v>160.8467</v>
      </c>
      <c r="Q59" s="2">
        <v>153.941</v>
      </c>
      <c r="R59" s="2">
        <v>165.4237</v>
      </c>
      <c r="S59" s="2">
        <v>144.47489999999999</v>
      </c>
      <c r="T59" s="2">
        <v>155.92259999999999</v>
      </c>
      <c r="U59" s="2">
        <v>645.61739999999998</v>
      </c>
      <c r="V59" s="6">
        <v>496.36189999999999</v>
      </c>
    </row>
    <row r="60" spans="2:22" x14ac:dyDescent="0.25">
      <c r="B60" s="5"/>
      <c r="K60" s="6"/>
      <c r="M60" s="5"/>
      <c r="V60" s="6"/>
    </row>
    <row r="61" spans="2:22" x14ac:dyDescent="0.25">
      <c r="B61" s="14" t="s">
        <v>24</v>
      </c>
      <c r="C61" s="15"/>
      <c r="D61" s="16"/>
      <c r="E61" s="16"/>
      <c r="F61" s="16"/>
      <c r="G61" s="16"/>
      <c r="H61" s="16"/>
      <c r="I61" s="16"/>
      <c r="J61" s="16"/>
      <c r="K61" s="17"/>
      <c r="M61" s="14" t="s">
        <v>25</v>
      </c>
      <c r="N61" s="15"/>
      <c r="O61" s="16"/>
      <c r="P61" s="16"/>
      <c r="Q61" s="16"/>
      <c r="R61" s="16"/>
      <c r="S61" s="16"/>
      <c r="T61" s="16"/>
      <c r="U61" s="16"/>
      <c r="V61" s="17"/>
    </row>
    <row r="62" spans="2:22" s="1" customFormat="1" x14ac:dyDescent="0.25">
      <c r="B62" s="14" t="s">
        <v>0</v>
      </c>
      <c r="C62" s="18" t="s">
        <v>3</v>
      </c>
      <c r="D62" s="19" t="s">
        <v>4</v>
      </c>
      <c r="E62" s="19" t="s">
        <v>5</v>
      </c>
      <c r="F62" s="19" t="s">
        <v>6</v>
      </c>
      <c r="G62" s="19" t="s">
        <v>7</v>
      </c>
      <c r="H62" s="19" t="s">
        <v>8</v>
      </c>
      <c r="I62" s="19" t="s">
        <v>9</v>
      </c>
      <c r="J62" s="19" t="s">
        <v>10</v>
      </c>
      <c r="K62" s="20" t="s">
        <v>11</v>
      </c>
      <c r="M62" s="14" t="s">
        <v>0</v>
      </c>
      <c r="N62" s="18" t="s">
        <v>3</v>
      </c>
      <c r="O62" s="19" t="s">
        <v>4</v>
      </c>
      <c r="P62" s="19" t="s">
        <v>5</v>
      </c>
      <c r="Q62" s="19" t="s">
        <v>6</v>
      </c>
      <c r="R62" s="19" t="s">
        <v>7</v>
      </c>
      <c r="S62" s="19" t="s">
        <v>8</v>
      </c>
      <c r="T62" s="19" t="s">
        <v>9</v>
      </c>
      <c r="U62" s="19" t="s">
        <v>10</v>
      </c>
      <c r="V62" s="20" t="s">
        <v>11</v>
      </c>
    </row>
    <row r="63" spans="2:22" x14ac:dyDescent="0.25">
      <c r="B63" s="14">
        <v>0</v>
      </c>
      <c r="C63" s="15">
        <v>23760</v>
      </c>
      <c r="D63" s="16">
        <v>117.3043</v>
      </c>
      <c r="E63" s="16">
        <v>192.88990000000001</v>
      </c>
      <c r="F63" s="16">
        <v>157.8098</v>
      </c>
      <c r="G63" s="16">
        <v>198.03280000000001</v>
      </c>
      <c r="H63" s="16">
        <v>151.64760000000001</v>
      </c>
      <c r="I63" s="16">
        <v>172.21180000000001</v>
      </c>
      <c r="J63" s="16">
        <v>650.49040000000002</v>
      </c>
      <c r="K63" s="17">
        <v>505.91969999999998</v>
      </c>
      <c r="M63" s="14">
        <v>0</v>
      </c>
      <c r="N63" s="15">
        <v>9650</v>
      </c>
      <c r="O63" s="16">
        <v>105.73690000000001</v>
      </c>
      <c r="P63" s="16">
        <v>118.37179999999999</v>
      </c>
      <c r="Q63" s="16">
        <v>104.9853</v>
      </c>
      <c r="R63" s="16">
        <v>119.5031</v>
      </c>
      <c r="S63" s="16">
        <v>98.488579999999999</v>
      </c>
      <c r="T63" s="16">
        <v>109.3356</v>
      </c>
      <c r="U63" s="16">
        <v>640.02329999999995</v>
      </c>
      <c r="V63" s="17">
        <v>500.4008</v>
      </c>
    </row>
    <row r="64" spans="2:22" x14ac:dyDescent="0.25">
      <c r="B64" s="14">
        <v>12</v>
      </c>
      <c r="C64" s="15">
        <v>37258</v>
      </c>
      <c r="D64" s="16">
        <v>103.4524</v>
      </c>
      <c r="E64" s="16">
        <v>232.1841</v>
      </c>
      <c r="F64" s="16">
        <v>204.5966</v>
      </c>
      <c r="G64" s="16">
        <v>234</v>
      </c>
      <c r="H64" s="16">
        <v>195.97190000000001</v>
      </c>
      <c r="I64" s="16">
        <v>216.6728</v>
      </c>
      <c r="J64" s="16">
        <v>658.80269999999996</v>
      </c>
      <c r="K64" s="17">
        <v>499.38990000000001</v>
      </c>
      <c r="M64" s="14">
        <v>12</v>
      </c>
      <c r="N64" s="15">
        <v>11930</v>
      </c>
      <c r="O64" s="16">
        <v>90.031769999999995</v>
      </c>
      <c r="P64" s="16">
        <v>129.77799999999999</v>
      </c>
      <c r="Q64" s="16">
        <v>117.4152</v>
      </c>
      <c r="R64" s="16">
        <v>133.1353</v>
      </c>
      <c r="S64" s="16">
        <v>109.9318</v>
      </c>
      <c r="T64" s="16">
        <v>122.0913</v>
      </c>
      <c r="U64" s="16">
        <v>651.53279999999995</v>
      </c>
      <c r="V64" s="17">
        <v>489.30309999999997</v>
      </c>
    </row>
    <row r="65" spans="2:22" x14ac:dyDescent="0.25">
      <c r="B65" s="14">
        <v>24</v>
      </c>
      <c r="C65" s="15">
        <v>53357</v>
      </c>
      <c r="D65" s="16">
        <v>105.6264</v>
      </c>
      <c r="E65" s="16">
        <v>276.76280000000003</v>
      </c>
      <c r="F65" s="16">
        <v>245.79900000000001</v>
      </c>
      <c r="G65" s="16">
        <v>284.67700000000002</v>
      </c>
      <c r="H65" s="16">
        <v>237.1181</v>
      </c>
      <c r="I65" s="16">
        <v>259.39139999999998</v>
      </c>
      <c r="J65" s="16">
        <v>662.53959999999995</v>
      </c>
      <c r="K65" s="17">
        <v>507.0025</v>
      </c>
      <c r="M65" s="14">
        <v>24</v>
      </c>
      <c r="N65" s="15">
        <v>16529</v>
      </c>
      <c r="O65" s="16">
        <v>100.0312</v>
      </c>
      <c r="P65" s="16">
        <v>156.88149999999999</v>
      </c>
      <c r="Q65" s="16">
        <v>134.45249999999999</v>
      </c>
      <c r="R65" s="16">
        <v>158.59700000000001</v>
      </c>
      <c r="S65" s="16">
        <v>129.75749999999999</v>
      </c>
      <c r="T65" s="16">
        <v>143.8314</v>
      </c>
      <c r="U65" s="16">
        <v>648.71519999999998</v>
      </c>
      <c r="V65" s="17">
        <v>484.91559999999998</v>
      </c>
    </row>
    <row r="66" spans="2:22" x14ac:dyDescent="0.25">
      <c r="B66" s="14">
        <v>36</v>
      </c>
      <c r="C66" s="15">
        <v>55452</v>
      </c>
      <c r="D66" s="16">
        <v>100.65779999999999</v>
      </c>
      <c r="E66" s="16">
        <v>280.34160000000003</v>
      </c>
      <c r="F66" s="16">
        <v>252.1575</v>
      </c>
      <c r="G66" s="16">
        <v>287.93920000000003</v>
      </c>
      <c r="H66" s="16">
        <v>243.66579999999999</v>
      </c>
      <c r="I66" s="16">
        <v>264.35660000000001</v>
      </c>
      <c r="J66" s="16">
        <v>656.77170000000001</v>
      </c>
      <c r="K66" s="17">
        <v>503.35489999999999</v>
      </c>
      <c r="M66" s="14">
        <v>36</v>
      </c>
      <c r="N66" s="15">
        <v>16367</v>
      </c>
      <c r="O66" s="16">
        <v>71.475070000000002</v>
      </c>
      <c r="P66" s="16">
        <v>154.1704</v>
      </c>
      <c r="Q66" s="16">
        <v>136.2456</v>
      </c>
      <c r="R66" s="16">
        <v>162.9847</v>
      </c>
      <c r="S66" s="16">
        <v>122.4132</v>
      </c>
      <c r="T66" s="16">
        <v>142.8622</v>
      </c>
      <c r="U66" s="16">
        <v>643.89020000000005</v>
      </c>
      <c r="V66" s="17">
        <v>480.46730000000002</v>
      </c>
    </row>
    <row r="67" spans="2:22" x14ac:dyDescent="0.25">
      <c r="B67" s="14">
        <v>48</v>
      </c>
      <c r="C67" s="15">
        <v>56625</v>
      </c>
      <c r="D67" s="16">
        <v>97.496989999999997</v>
      </c>
      <c r="E67" s="16">
        <v>283.10570000000001</v>
      </c>
      <c r="F67" s="16">
        <v>254.97229999999999</v>
      </c>
      <c r="G67" s="16">
        <v>289.55829999999997</v>
      </c>
      <c r="H67" s="16">
        <v>245.00200000000001</v>
      </c>
      <c r="I67" s="16">
        <v>266.99740000000003</v>
      </c>
      <c r="J67" s="16">
        <v>660.52850000000001</v>
      </c>
      <c r="K67" s="17">
        <v>502.32769999999999</v>
      </c>
      <c r="M67" s="14">
        <v>48</v>
      </c>
      <c r="N67" s="15">
        <v>19139</v>
      </c>
      <c r="O67" s="16">
        <v>71.089420000000004</v>
      </c>
      <c r="P67" s="16">
        <v>170.88480000000001</v>
      </c>
      <c r="Q67" s="16">
        <v>143.76609999999999</v>
      </c>
      <c r="R67" s="16">
        <v>179.88890000000001</v>
      </c>
      <c r="S67" s="16">
        <v>134.82579999999999</v>
      </c>
      <c r="T67" s="16">
        <v>154.35599999999999</v>
      </c>
      <c r="U67" s="16">
        <v>649.25980000000004</v>
      </c>
      <c r="V67" s="17">
        <v>479.8485</v>
      </c>
    </row>
    <row r="68" spans="2:22" x14ac:dyDescent="0.25">
      <c r="B68" s="5"/>
      <c r="K68" s="6"/>
      <c r="M68" s="5"/>
      <c r="V68" s="6"/>
    </row>
    <row r="69" spans="2:22" x14ac:dyDescent="0.25">
      <c r="B69" s="5" t="s">
        <v>26</v>
      </c>
      <c r="K69" s="6"/>
      <c r="M69" s="5" t="s">
        <v>27</v>
      </c>
      <c r="V69" s="6"/>
    </row>
    <row r="70" spans="2:22" s="1" customFormat="1" x14ac:dyDescent="0.25">
      <c r="B70" s="5" t="s">
        <v>0</v>
      </c>
      <c r="C70" s="1" t="s">
        <v>3</v>
      </c>
      <c r="D70" s="7" t="s">
        <v>4</v>
      </c>
      <c r="E70" s="7" t="s">
        <v>5</v>
      </c>
      <c r="F70" s="7" t="s">
        <v>6</v>
      </c>
      <c r="G70" s="7" t="s">
        <v>7</v>
      </c>
      <c r="H70" s="7" t="s">
        <v>8</v>
      </c>
      <c r="I70" s="7" t="s">
        <v>9</v>
      </c>
      <c r="J70" s="7" t="s">
        <v>10</v>
      </c>
      <c r="K70" s="8" t="s">
        <v>11</v>
      </c>
      <c r="M70" s="5" t="s">
        <v>0</v>
      </c>
      <c r="N70" s="1" t="s">
        <v>3</v>
      </c>
      <c r="O70" s="7" t="s">
        <v>4</v>
      </c>
      <c r="P70" s="7" t="s">
        <v>5</v>
      </c>
      <c r="Q70" s="7" t="s">
        <v>6</v>
      </c>
      <c r="R70" s="7" t="s">
        <v>7</v>
      </c>
      <c r="S70" s="7" t="s">
        <v>8</v>
      </c>
      <c r="T70" s="7" t="s">
        <v>9</v>
      </c>
      <c r="U70" s="7" t="s">
        <v>10</v>
      </c>
      <c r="V70" s="8" t="s">
        <v>11</v>
      </c>
    </row>
    <row r="71" spans="2:22" x14ac:dyDescent="0.25">
      <c r="B71" s="5">
        <v>0</v>
      </c>
      <c r="C71">
        <v>26097</v>
      </c>
      <c r="D71" s="2">
        <v>94.427589999999995</v>
      </c>
      <c r="E71" s="2">
        <v>187.32599999999999</v>
      </c>
      <c r="F71" s="2">
        <v>177.8186</v>
      </c>
      <c r="G71" s="2">
        <v>193.82980000000001</v>
      </c>
      <c r="H71" s="2">
        <v>168.7157</v>
      </c>
      <c r="I71" s="2">
        <v>181.0712</v>
      </c>
      <c r="J71" s="2">
        <v>649.40629999999999</v>
      </c>
      <c r="K71" s="6">
        <v>496.9735</v>
      </c>
      <c r="M71" s="5">
        <v>0</v>
      </c>
      <c r="N71">
        <v>11492</v>
      </c>
      <c r="O71" s="2">
        <v>90.127129999999994</v>
      </c>
      <c r="P71" s="2">
        <v>124.79340000000001</v>
      </c>
      <c r="Q71" s="2">
        <v>117.5549</v>
      </c>
      <c r="R71" s="2">
        <v>127.86320000000001</v>
      </c>
      <c r="S71" s="2">
        <v>109.9318</v>
      </c>
      <c r="T71" s="2">
        <v>119.8201</v>
      </c>
      <c r="U71" s="2">
        <v>648.41980000000001</v>
      </c>
      <c r="V71" s="6">
        <v>490.0077</v>
      </c>
    </row>
    <row r="72" spans="2:22" x14ac:dyDescent="0.25">
      <c r="B72" s="5">
        <v>12</v>
      </c>
      <c r="C72">
        <v>40579</v>
      </c>
      <c r="D72" s="2">
        <v>98.905690000000007</v>
      </c>
      <c r="E72" s="2">
        <v>237.36279999999999</v>
      </c>
      <c r="F72" s="2">
        <v>217.8723</v>
      </c>
      <c r="G72" s="2">
        <v>240.44130000000001</v>
      </c>
      <c r="H72" s="2">
        <v>210.64189999999999</v>
      </c>
      <c r="I72" s="2">
        <v>226.2782</v>
      </c>
      <c r="J72" s="2">
        <v>652.89340000000004</v>
      </c>
      <c r="K72" s="6">
        <v>496.25439999999998</v>
      </c>
      <c r="M72" s="5">
        <v>12</v>
      </c>
      <c r="N72">
        <v>15644</v>
      </c>
      <c r="O72" s="2">
        <v>100.1352</v>
      </c>
      <c r="P72" s="2">
        <v>156.92410000000001</v>
      </c>
      <c r="Q72" s="2">
        <v>127.28579999999999</v>
      </c>
      <c r="R72" s="2">
        <v>159</v>
      </c>
      <c r="S72" s="2">
        <v>123.97580000000001</v>
      </c>
      <c r="T72" s="2">
        <v>139.7433</v>
      </c>
      <c r="U72" s="2">
        <v>644.3365</v>
      </c>
      <c r="V72" s="6">
        <v>490.0548</v>
      </c>
    </row>
    <row r="73" spans="2:22" x14ac:dyDescent="0.25">
      <c r="B73" s="5">
        <v>24</v>
      </c>
      <c r="C73">
        <v>60606</v>
      </c>
      <c r="D73" s="2">
        <v>85.459500000000006</v>
      </c>
      <c r="E73" s="2">
        <v>292.83550000000002</v>
      </c>
      <c r="F73" s="2">
        <v>263.92540000000002</v>
      </c>
      <c r="G73" s="2">
        <v>301.52449999999999</v>
      </c>
      <c r="H73" s="2">
        <v>254.37180000000001</v>
      </c>
      <c r="I73" s="2">
        <v>276.36169999999998</v>
      </c>
      <c r="J73" s="2">
        <v>652.53639999999996</v>
      </c>
      <c r="K73" s="6">
        <v>498.55169999999998</v>
      </c>
      <c r="M73" s="5">
        <v>24</v>
      </c>
      <c r="N73">
        <v>15505</v>
      </c>
      <c r="O73" s="2">
        <v>87.148219999999995</v>
      </c>
      <c r="P73" s="2">
        <v>155.72290000000001</v>
      </c>
      <c r="Q73" s="2">
        <v>127.0532</v>
      </c>
      <c r="R73" s="2">
        <v>159.66210000000001</v>
      </c>
      <c r="S73" s="2">
        <v>121.1156</v>
      </c>
      <c r="T73" s="2">
        <v>139.01689999999999</v>
      </c>
      <c r="U73" s="2">
        <v>665.11220000000003</v>
      </c>
      <c r="V73" s="6">
        <v>483.71879999999999</v>
      </c>
    </row>
    <row r="74" spans="2:22" x14ac:dyDescent="0.25">
      <c r="B74" s="5">
        <v>36</v>
      </c>
      <c r="C74">
        <v>59495</v>
      </c>
      <c r="D74" s="2">
        <v>87.113939999999999</v>
      </c>
      <c r="E74" s="2">
        <v>294.88279999999997</v>
      </c>
      <c r="F74" s="2">
        <v>257.2371</v>
      </c>
      <c r="G74" s="2">
        <v>300.44299999999998</v>
      </c>
      <c r="H74" s="2">
        <v>247.12139999999999</v>
      </c>
      <c r="I74" s="2">
        <v>273.48700000000002</v>
      </c>
      <c r="J74" s="2">
        <v>654.50829999999996</v>
      </c>
      <c r="K74" s="6">
        <v>493.32799999999997</v>
      </c>
      <c r="M74" s="5">
        <v>36</v>
      </c>
      <c r="N74">
        <v>15998</v>
      </c>
      <c r="O74" s="2">
        <v>74.674289999999999</v>
      </c>
      <c r="P74" s="2">
        <v>160.8056</v>
      </c>
      <c r="Q74" s="2">
        <v>127.03279999999999</v>
      </c>
      <c r="R74" s="2">
        <v>161.37530000000001</v>
      </c>
      <c r="S74" s="2">
        <v>119.0042</v>
      </c>
      <c r="T74" s="2">
        <v>141.0411</v>
      </c>
      <c r="U74" s="2">
        <v>651.37929999999994</v>
      </c>
      <c r="V74" s="6">
        <v>480.99189999999999</v>
      </c>
    </row>
    <row r="75" spans="2:22" x14ac:dyDescent="0.25">
      <c r="B75" s="5">
        <v>48</v>
      </c>
      <c r="C75">
        <v>65136</v>
      </c>
      <c r="D75" s="2">
        <v>92.63646</v>
      </c>
      <c r="E75" s="2">
        <v>301.22890000000001</v>
      </c>
      <c r="F75" s="2">
        <v>275.9153</v>
      </c>
      <c r="G75" s="2">
        <v>322.82040000000001</v>
      </c>
      <c r="H75" s="2">
        <v>266.2724</v>
      </c>
      <c r="I75" s="2">
        <v>286.72550000000001</v>
      </c>
      <c r="J75" s="2">
        <v>656.88300000000004</v>
      </c>
      <c r="K75" s="6">
        <v>497.3639</v>
      </c>
      <c r="M75" s="5">
        <v>48</v>
      </c>
      <c r="N75">
        <v>18008</v>
      </c>
      <c r="O75" s="2">
        <v>91.833410000000001</v>
      </c>
      <c r="P75" s="2">
        <v>156.04169999999999</v>
      </c>
      <c r="Q75" s="2">
        <v>147.744</v>
      </c>
      <c r="R75" s="2">
        <v>161.15209999999999</v>
      </c>
      <c r="S75" s="2">
        <v>137.8768</v>
      </c>
      <c r="T75" s="2">
        <v>150.20140000000001</v>
      </c>
      <c r="U75" s="2">
        <v>656.47410000000002</v>
      </c>
      <c r="V75" s="6">
        <v>484.80279999999999</v>
      </c>
    </row>
    <row r="76" spans="2:22" x14ac:dyDescent="0.25">
      <c r="B76" s="5"/>
      <c r="C76" s="9"/>
      <c r="K76" s="6"/>
      <c r="M76" s="5"/>
      <c r="V76" s="6"/>
    </row>
    <row r="77" spans="2:22" x14ac:dyDescent="0.25">
      <c r="B77" s="14" t="s">
        <v>28</v>
      </c>
      <c r="C77" s="15"/>
      <c r="D77" s="16"/>
      <c r="E77" s="16"/>
      <c r="F77" s="16"/>
      <c r="G77" s="16"/>
      <c r="H77" s="16"/>
      <c r="I77" s="16"/>
      <c r="J77" s="16"/>
      <c r="K77" s="17"/>
      <c r="M77" s="14" t="s">
        <v>29</v>
      </c>
      <c r="N77" s="15"/>
      <c r="O77" s="16"/>
      <c r="P77" s="16"/>
      <c r="Q77" s="16"/>
      <c r="R77" s="16"/>
      <c r="S77" s="16"/>
      <c r="T77" s="16"/>
      <c r="U77" s="16"/>
      <c r="V77" s="17"/>
    </row>
    <row r="78" spans="2:22" s="1" customFormat="1" x14ac:dyDescent="0.25">
      <c r="B78" s="14" t="s">
        <v>0</v>
      </c>
      <c r="C78" s="18" t="s">
        <v>3</v>
      </c>
      <c r="D78" s="19" t="s">
        <v>4</v>
      </c>
      <c r="E78" s="19" t="s">
        <v>5</v>
      </c>
      <c r="F78" s="19" t="s">
        <v>6</v>
      </c>
      <c r="G78" s="19" t="s">
        <v>7</v>
      </c>
      <c r="H78" s="19" t="s">
        <v>8</v>
      </c>
      <c r="I78" s="19" t="s">
        <v>9</v>
      </c>
      <c r="J78" s="19" t="s">
        <v>10</v>
      </c>
      <c r="K78" s="20" t="s">
        <v>11</v>
      </c>
      <c r="M78" s="14" t="s">
        <v>0</v>
      </c>
      <c r="N78" s="18" t="s">
        <v>3</v>
      </c>
      <c r="O78" s="19" t="s">
        <v>4</v>
      </c>
      <c r="P78" s="19" t="s">
        <v>5</v>
      </c>
      <c r="Q78" s="19" t="s">
        <v>6</v>
      </c>
      <c r="R78" s="19" t="s">
        <v>7</v>
      </c>
      <c r="S78" s="19" t="s">
        <v>8</v>
      </c>
      <c r="T78" s="19" t="s">
        <v>9</v>
      </c>
      <c r="U78" s="19" t="s">
        <v>10</v>
      </c>
      <c r="V78" s="20" t="s">
        <v>11</v>
      </c>
    </row>
    <row r="79" spans="2:22" x14ac:dyDescent="0.25">
      <c r="B79" s="14">
        <v>0</v>
      </c>
      <c r="C79" s="15">
        <v>21072</v>
      </c>
      <c r="D79" s="16">
        <v>154.6765</v>
      </c>
      <c r="E79" s="16">
        <v>175.03659999999999</v>
      </c>
      <c r="F79" s="16">
        <v>153.67179999999999</v>
      </c>
      <c r="G79" s="16">
        <v>177.48519999999999</v>
      </c>
      <c r="H79" s="16">
        <v>150.57220000000001</v>
      </c>
      <c r="I79" s="16">
        <v>162.63939999999999</v>
      </c>
      <c r="J79" s="16">
        <v>626.3107</v>
      </c>
      <c r="K79" s="17">
        <v>509.89960000000002</v>
      </c>
      <c r="M79" s="14">
        <v>0</v>
      </c>
      <c r="N79" s="15">
        <v>7171</v>
      </c>
      <c r="O79" s="16">
        <v>155.66130000000001</v>
      </c>
      <c r="P79" s="16">
        <v>102.7723</v>
      </c>
      <c r="Q79" s="16">
        <v>89.15043</v>
      </c>
      <c r="R79" s="16">
        <v>105.2616</v>
      </c>
      <c r="S79" s="16">
        <v>84</v>
      </c>
      <c r="T79" s="16">
        <v>94.445980000000006</v>
      </c>
      <c r="U79" s="16">
        <v>623.12639999999999</v>
      </c>
      <c r="V79" s="17">
        <v>512.71420000000001</v>
      </c>
    </row>
    <row r="80" spans="2:22" x14ac:dyDescent="0.25">
      <c r="B80" s="14">
        <v>12</v>
      </c>
      <c r="C80" s="15">
        <v>37729</v>
      </c>
      <c r="D80" s="16">
        <v>171.70509999999999</v>
      </c>
      <c r="E80" s="16">
        <v>234.37979999999999</v>
      </c>
      <c r="F80" s="16">
        <v>205.3785</v>
      </c>
      <c r="G80" s="16">
        <v>242.00829999999999</v>
      </c>
      <c r="H80" s="16">
        <v>194.65870000000001</v>
      </c>
      <c r="I80" s="16">
        <v>217.86590000000001</v>
      </c>
      <c r="J80" s="16">
        <v>629.89430000000004</v>
      </c>
      <c r="K80" s="17">
        <v>505.1309</v>
      </c>
      <c r="M80" s="14">
        <v>12</v>
      </c>
      <c r="N80" s="15">
        <v>10157</v>
      </c>
      <c r="O80" s="16">
        <v>81.889269999999996</v>
      </c>
      <c r="P80" s="16">
        <v>118.23050000000001</v>
      </c>
      <c r="Q80" s="16">
        <v>109.82640000000001</v>
      </c>
      <c r="R80" s="16">
        <v>124.952</v>
      </c>
      <c r="S80" s="16">
        <v>102.4207</v>
      </c>
      <c r="T80" s="16">
        <v>112.6177</v>
      </c>
      <c r="U80" s="16">
        <v>634.4828</v>
      </c>
      <c r="V80" s="17">
        <v>518.97400000000005</v>
      </c>
    </row>
    <row r="81" spans="2:22" x14ac:dyDescent="0.25">
      <c r="B81" s="14">
        <v>24</v>
      </c>
      <c r="C81" s="15">
        <v>54634</v>
      </c>
      <c r="D81" s="16">
        <v>169.16460000000001</v>
      </c>
      <c r="E81" s="16">
        <v>277.70299999999997</v>
      </c>
      <c r="F81" s="16">
        <v>250.756</v>
      </c>
      <c r="G81" s="16">
        <v>283.44490000000002</v>
      </c>
      <c r="H81" s="16">
        <v>241</v>
      </c>
      <c r="I81" s="16">
        <v>262.56849999999997</v>
      </c>
      <c r="J81" s="16">
        <v>631.16470000000004</v>
      </c>
      <c r="K81" s="17">
        <v>512.73820000000001</v>
      </c>
      <c r="M81" s="14">
        <v>24</v>
      </c>
      <c r="N81" s="15">
        <v>18481</v>
      </c>
      <c r="O81" s="16">
        <v>118.5103</v>
      </c>
      <c r="P81" s="16">
        <v>157.25129999999999</v>
      </c>
      <c r="Q81" s="16">
        <v>150.12610000000001</v>
      </c>
      <c r="R81" s="16">
        <v>163.1104</v>
      </c>
      <c r="S81" s="16">
        <v>140.88999999999999</v>
      </c>
      <c r="T81" s="16">
        <v>152.19560000000001</v>
      </c>
      <c r="U81" s="16">
        <v>646.63670000000002</v>
      </c>
      <c r="V81" s="17">
        <v>523.14279999999997</v>
      </c>
    </row>
    <row r="82" spans="2:22" x14ac:dyDescent="0.25">
      <c r="B82" s="14">
        <v>36</v>
      </c>
      <c r="C82" s="15">
        <v>55666</v>
      </c>
      <c r="D82" s="16">
        <v>175.12299999999999</v>
      </c>
      <c r="E82" s="16">
        <v>285.36880000000002</v>
      </c>
      <c r="F82" s="16">
        <v>248.66470000000001</v>
      </c>
      <c r="G82" s="16">
        <v>286.93729999999999</v>
      </c>
      <c r="H82" s="16">
        <v>238.21</v>
      </c>
      <c r="I82" s="16">
        <v>264.83499999999998</v>
      </c>
      <c r="J82" s="16">
        <v>629.22059999999999</v>
      </c>
      <c r="K82" s="17">
        <v>507.0677</v>
      </c>
      <c r="M82" s="14">
        <v>36</v>
      </c>
      <c r="N82" s="15">
        <v>16262</v>
      </c>
      <c r="O82" s="16">
        <v>176.21719999999999</v>
      </c>
      <c r="P82" s="16">
        <v>149.36320000000001</v>
      </c>
      <c r="Q82" s="16">
        <v>138.84610000000001</v>
      </c>
      <c r="R82" s="16">
        <v>151.99010000000001</v>
      </c>
      <c r="S82" s="16">
        <v>133.80959999999999</v>
      </c>
      <c r="T82" s="16">
        <v>142.83430000000001</v>
      </c>
      <c r="U82" s="16">
        <v>655.5856</v>
      </c>
      <c r="V82" s="17">
        <v>527.99109999999996</v>
      </c>
    </row>
    <row r="83" spans="2:22" x14ac:dyDescent="0.25">
      <c r="B83" s="14">
        <v>48</v>
      </c>
      <c r="C83" s="15">
        <v>59576</v>
      </c>
      <c r="D83" s="16">
        <v>163.88589999999999</v>
      </c>
      <c r="E83" s="16">
        <v>281.78969999999998</v>
      </c>
      <c r="F83" s="16">
        <v>269.71800000000002</v>
      </c>
      <c r="G83" s="16">
        <v>293.23200000000003</v>
      </c>
      <c r="H83" s="16">
        <v>254.95099999999999</v>
      </c>
      <c r="I83" s="16">
        <v>274.15519999999998</v>
      </c>
      <c r="J83" s="16">
        <v>633.88229999999999</v>
      </c>
      <c r="K83" s="17">
        <v>506.32490000000001</v>
      </c>
      <c r="M83" s="14">
        <v>48</v>
      </c>
      <c r="N83" s="15">
        <v>16041</v>
      </c>
      <c r="O83" s="16">
        <v>21.984290000000001</v>
      </c>
      <c r="P83" s="16">
        <v>159.49629999999999</v>
      </c>
      <c r="Q83" s="16">
        <v>130.0471</v>
      </c>
      <c r="R83" s="16">
        <v>164.53870000000001</v>
      </c>
      <c r="S83" s="16">
        <v>125.2996</v>
      </c>
      <c r="T83" s="16">
        <v>141.05860000000001</v>
      </c>
      <c r="U83" s="16">
        <v>661.67619999999999</v>
      </c>
      <c r="V83" s="17">
        <v>528.01009999999997</v>
      </c>
    </row>
    <row r="84" spans="2:22" x14ac:dyDescent="0.25">
      <c r="B84" s="5"/>
      <c r="K84" s="6"/>
      <c r="M84" s="5"/>
      <c r="V84" s="6"/>
    </row>
    <row r="85" spans="2:22" x14ac:dyDescent="0.25">
      <c r="B85" s="5" t="s">
        <v>30</v>
      </c>
      <c r="K85" s="6"/>
      <c r="M85" s="5" t="s">
        <v>31</v>
      </c>
      <c r="V85" s="6"/>
    </row>
    <row r="86" spans="2:22" s="1" customFormat="1" x14ac:dyDescent="0.25">
      <c r="B86" s="5" t="s">
        <v>0</v>
      </c>
      <c r="C86" s="1" t="s">
        <v>3</v>
      </c>
      <c r="D86" s="7" t="s">
        <v>4</v>
      </c>
      <c r="E86" s="7" t="s">
        <v>5</v>
      </c>
      <c r="F86" s="7" t="s">
        <v>6</v>
      </c>
      <c r="G86" s="7" t="s">
        <v>7</v>
      </c>
      <c r="H86" s="7" t="s">
        <v>8</v>
      </c>
      <c r="I86" s="7" t="s">
        <v>9</v>
      </c>
      <c r="J86" s="7" t="s">
        <v>10</v>
      </c>
      <c r="K86" s="8" t="s">
        <v>11</v>
      </c>
      <c r="M86" s="5" t="s">
        <v>0</v>
      </c>
      <c r="N86" s="1" t="s">
        <v>3</v>
      </c>
      <c r="O86" s="7" t="s">
        <v>4</v>
      </c>
      <c r="P86" s="7" t="s">
        <v>5</v>
      </c>
      <c r="Q86" s="7" t="s">
        <v>6</v>
      </c>
      <c r="R86" s="7" t="s">
        <v>7</v>
      </c>
      <c r="S86" s="7" t="s">
        <v>8</v>
      </c>
      <c r="T86" s="7" t="s">
        <v>9</v>
      </c>
      <c r="U86" s="7" t="s">
        <v>10</v>
      </c>
      <c r="V86" s="8" t="s">
        <v>11</v>
      </c>
    </row>
    <row r="87" spans="2:22" x14ac:dyDescent="0.25">
      <c r="B87" s="5">
        <v>0</v>
      </c>
      <c r="C87">
        <v>23772</v>
      </c>
      <c r="D87" s="2">
        <v>94.488500000000002</v>
      </c>
      <c r="E87" s="2">
        <v>232.25739999999999</v>
      </c>
      <c r="F87" s="2">
        <v>133.23349999999999</v>
      </c>
      <c r="G87" s="2">
        <v>242</v>
      </c>
      <c r="H87" s="2">
        <v>128.7362</v>
      </c>
      <c r="I87" s="2">
        <v>168.60489999999999</v>
      </c>
      <c r="J87" s="2">
        <v>634.28300000000002</v>
      </c>
      <c r="K87" s="6">
        <v>483.96280000000002</v>
      </c>
      <c r="M87" s="5">
        <v>0</v>
      </c>
      <c r="N87">
        <v>4415</v>
      </c>
      <c r="O87" s="2">
        <v>109.94199999999999</v>
      </c>
      <c r="P87" s="2">
        <v>83.207740000000001</v>
      </c>
      <c r="Q87" s="2">
        <v>67.737909999999999</v>
      </c>
      <c r="R87" s="2">
        <v>88.022729999999996</v>
      </c>
      <c r="S87" s="2">
        <v>67.052220000000005</v>
      </c>
      <c r="T87" s="2">
        <v>73.716189999999997</v>
      </c>
      <c r="U87" s="2">
        <v>618.6123</v>
      </c>
      <c r="V87" s="6">
        <v>484.2448</v>
      </c>
    </row>
    <row r="88" spans="2:22" x14ac:dyDescent="0.25">
      <c r="B88" s="5">
        <v>12</v>
      </c>
      <c r="C88">
        <v>34394</v>
      </c>
      <c r="D88" s="2">
        <v>81.685379999999995</v>
      </c>
      <c r="E88" s="2">
        <v>239.73830000000001</v>
      </c>
      <c r="F88" s="2">
        <v>183.32210000000001</v>
      </c>
      <c r="G88" s="2">
        <v>252.0317</v>
      </c>
      <c r="H88" s="2">
        <v>179.76929999999999</v>
      </c>
      <c r="I88" s="2">
        <v>207.0752</v>
      </c>
      <c r="J88" s="2">
        <v>634.27790000000005</v>
      </c>
      <c r="K88" s="6">
        <v>478.92590000000001</v>
      </c>
      <c r="M88" s="5">
        <v>12</v>
      </c>
      <c r="N88">
        <v>9680</v>
      </c>
      <c r="O88" s="2">
        <v>86.515979999999999</v>
      </c>
      <c r="P88" s="2">
        <v>126.51519999999999</v>
      </c>
      <c r="Q88" s="2">
        <v>98.173879999999997</v>
      </c>
      <c r="R88" s="2">
        <v>133.7647</v>
      </c>
      <c r="S88" s="2">
        <v>90.027770000000004</v>
      </c>
      <c r="T88" s="2">
        <v>109.3914</v>
      </c>
      <c r="U88" s="2">
        <v>641.5924</v>
      </c>
      <c r="V88" s="6">
        <v>489.8784</v>
      </c>
    </row>
    <row r="89" spans="2:22" x14ac:dyDescent="0.25">
      <c r="B89" s="5">
        <v>24</v>
      </c>
      <c r="C89">
        <v>58507</v>
      </c>
      <c r="D89" s="2">
        <v>79.126750000000001</v>
      </c>
      <c r="E89" s="2">
        <v>307.49770000000001</v>
      </c>
      <c r="F89" s="2">
        <v>242.70089999999999</v>
      </c>
      <c r="G89" s="2">
        <v>319.78120000000001</v>
      </c>
      <c r="H89" s="2">
        <v>241.1182</v>
      </c>
      <c r="I89" s="2">
        <v>270.74270000000001</v>
      </c>
      <c r="J89" s="2">
        <v>631.07809999999995</v>
      </c>
      <c r="K89" s="6">
        <v>489.32819999999998</v>
      </c>
      <c r="M89" s="5">
        <v>24</v>
      </c>
      <c r="N89">
        <v>12558</v>
      </c>
      <c r="O89" s="2">
        <v>71.823490000000007</v>
      </c>
      <c r="P89" s="2">
        <v>146.8895</v>
      </c>
      <c r="Q89" s="2">
        <v>110.3927</v>
      </c>
      <c r="R89" s="2">
        <v>150.88079999999999</v>
      </c>
      <c r="S89" s="2">
        <v>107.7033</v>
      </c>
      <c r="T89" s="2">
        <v>124.1413</v>
      </c>
      <c r="U89" s="2">
        <v>656.37689999999998</v>
      </c>
      <c r="V89" s="6">
        <v>502.45920000000001</v>
      </c>
    </row>
    <row r="90" spans="2:22" x14ac:dyDescent="0.25">
      <c r="B90" s="5">
        <v>36</v>
      </c>
      <c r="C90">
        <v>56096</v>
      </c>
      <c r="D90" s="2">
        <v>78.692440000000005</v>
      </c>
      <c r="E90" s="2">
        <v>297.40449999999998</v>
      </c>
      <c r="F90" s="2">
        <v>240.81790000000001</v>
      </c>
      <c r="G90" s="2">
        <v>307.74340000000001</v>
      </c>
      <c r="H90" s="2">
        <v>229.42760000000001</v>
      </c>
      <c r="I90" s="2">
        <v>265.30149999999998</v>
      </c>
      <c r="J90" s="2">
        <v>632.11080000000004</v>
      </c>
      <c r="K90" s="6">
        <v>485.62799999999999</v>
      </c>
      <c r="M90" s="5">
        <v>36</v>
      </c>
      <c r="N90">
        <v>11246</v>
      </c>
      <c r="O90" s="2">
        <v>80.549109999999999</v>
      </c>
      <c r="P90" s="2">
        <v>146.39920000000001</v>
      </c>
      <c r="Q90" s="2">
        <v>99.371110000000002</v>
      </c>
      <c r="R90" s="2">
        <v>147.1224</v>
      </c>
      <c r="S90" s="2">
        <v>86.683329999999998</v>
      </c>
      <c r="T90" s="2">
        <v>116.8794</v>
      </c>
      <c r="U90" s="2">
        <v>657.12840000000006</v>
      </c>
      <c r="V90" s="6">
        <v>491.84969999999998</v>
      </c>
    </row>
    <row r="91" spans="2:22" x14ac:dyDescent="0.25">
      <c r="B91" s="5">
        <v>48</v>
      </c>
      <c r="C91">
        <v>58057</v>
      </c>
      <c r="D91" s="2">
        <v>90.968810000000005</v>
      </c>
      <c r="E91" s="2">
        <v>302.19630000000001</v>
      </c>
      <c r="F91" s="2">
        <v>245.08529999999999</v>
      </c>
      <c r="G91" s="2">
        <v>312.00639999999999</v>
      </c>
      <c r="H91" s="2">
        <v>242.2664</v>
      </c>
      <c r="I91" s="2">
        <v>270.02690000000001</v>
      </c>
      <c r="J91" s="2">
        <v>637.77800000000002</v>
      </c>
      <c r="K91" s="6">
        <v>486.92110000000002</v>
      </c>
      <c r="M91" s="5">
        <v>48</v>
      </c>
      <c r="N91">
        <v>13428</v>
      </c>
      <c r="O91" s="2">
        <v>71.025509999999997</v>
      </c>
      <c r="P91" s="2">
        <v>173.64279999999999</v>
      </c>
      <c r="Q91" s="2">
        <v>99.454939999999993</v>
      </c>
      <c r="R91" s="2">
        <v>175.2826</v>
      </c>
      <c r="S91" s="2">
        <v>90.448880000000003</v>
      </c>
      <c r="T91" s="2">
        <v>126.4088</v>
      </c>
      <c r="U91" s="2">
        <v>657.6979</v>
      </c>
      <c r="V91" s="6">
        <v>492.5634</v>
      </c>
    </row>
    <row r="92" spans="2:22" x14ac:dyDescent="0.25">
      <c r="B92" s="5"/>
      <c r="K92" s="6"/>
      <c r="M92" s="5"/>
      <c r="V92" s="6"/>
    </row>
    <row r="93" spans="2:22" x14ac:dyDescent="0.25">
      <c r="B93" s="14" t="s">
        <v>32</v>
      </c>
      <c r="C93" s="15"/>
      <c r="D93" s="16"/>
      <c r="E93" s="16"/>
      <c r="F93" s="16"/>
      <c r="G93" s="16"/>
      <c r="H93" s="16"/>
      <c r="I93" s="16"/>
      <c r="J93" s="16"/>
      <c r="K93" s="17"/>
      <c r="M93" s="14" t="s">
        <v>33</v>
      </c>
      <c r="N93" s="15"/>
      <c r="O93" s="16"/>
      <c r="P93" s="16"/>
      <c r="Q93" s="16"/>
      <c r="R93" s="16"/>
      <c r="S93" s="16"/>
      <c r="T93" s="16"/>
      <c r="U93" s="16"/>
      <c r="V93" s="17"/>
    </row>
    <row r="94" spans="2:22" s="1" customFormat="1" x14ac:dyDescent="0.25">
      <c r="B94" s="14" t="s">
        <v>0</v>
      </c>
      <c r="C94" s="18" t="s">
        <v>3</v>
      </c>
      <c r="D94" s="19" t="s">
        <v>4</v>
      </c>
      <c r="E94" s="19" t="s">
        <v>5</v>
      </c>
      <c r="F94" s="19" t="s">
        <v>6</v>
      </c>
      <c r="G94" s="19" t="s">
        <v>7</v>
      </c>
      <c r="H94" s="19" t="s">
        <v>8</v>
      </c>
      <c r="I94" s="19" t="s">
        <v>9</v>
      </c>
      <c r="J94" s="19" t="s">
        <v>10</v>
      </c>
      <c r="K94" s="20" t="s">
        <v>11</v>
      </c>
      <c r="M94" s="14" t="s">
        <v>0</v>
      </c>
      <c r="N94" s="18" t="s">
        <v>3</v>
      </c>
      <c r="O94" s="19" t="s">
        <v>4</v>
      </c>
      <c r="P94" s="19" t="s">
        <v>5</v>
      </c>
      <c r="Q94" s="19" t="s">
        <v>6</v>
      </c>
      <c r="R94" s="19" t="s">
        <v>7</v>
      </c>
      <c r="S94" s="19" t="s">
        <v>8</v>
      </c>
      <c r="T94" s="19" t="s">
        <v>9</v>
      </c>
      <c r="U94" s="19" t="s">
        <v>10</v>
      </c>
      <c r="V94" s="20" t="s">
        <v>11</v>
      </c>
    </row>
    <row r="95" spans="2:22" x14ac:dyDescent="0.25">
      <c r="B95" s="14">
        <v>0</v>
      </c>
      <c r="C95" s="15">
        <v>22204</v>
      </c>
      <c r="D95" s="16">
        <v>57.613500000000002</v>
      </c>
      <c r="E95" s="16">
        <v>179.9487</v>
      </c>
      <c r="F95" s="16">
        <v>157.7654</v>
      </c>
      <c r="G95" s="16">
        <v>185.15129999999999</v>
      </c>
      <c r="H95" s="16">
        <v>155.03870000000001</v>
      </c>
      <c r="I95" s="16">
        <v>166.8997</v>
      </c>
      <c r="J95" s="16">
        <v>643.43320000000006</v>
      </c>
      <c r="K95" s="17">
        <v>495.26940000000002</v>
      </c>
      <c r="M95" s="14">
        <v>0</v>
      </c>
      <c r="N95" s="15">
        <v>8567</v>
      </c>
      <c r="O95" s="16">
        <v>80.636939999999996</v>
      </c>
      <c r="P95" s="16">
        <v>105.70010000000001</v>
      </c>
      <c r="Q95" s="16">
        <v>103.7555</v>
      </c>
      <c r="R95" s="16">
        <v>110.42189999999999</v>
      </c>
      <c r="S95" s="16">
        <v>93.263069999999999</v>
      </c>
      <c r="T95" s="16">
        <v>103.39579999999999</v>
      </c>
      <c r="U95" s="16">
        <v>655.30269999999996</v>
      </c>
      <c r="V95" s="17">
        <v>487.02339999999998</v>
      </c>
    </row>
    <row r="96" spans="2:22" x14ac:dyDescent="0.25">
      <c r="B96" s="14">
        <v>12</v>
      </c>
      <c r="C96" s="15">
        <v>32745</v>
      </c>
      <c r="D96" s="16">
        <v>40.456560000000003</v>
      </c>
      <c r="E96" s="16">
        <v>209.65979999999999</v>
      </c>
      <c r="F96" s="16">
        <v>199.28360000000001</v>
      </c>
      <c r="G96" s="16">
        <v>220.62180000000001</v>
      </c>
      <c r="H96" s="16">
        <v>193.58199999999999</v>
      </c>
      <c r="I96" s="16">
        <v>203.0001</v>
      </c>
      <c r="J96" s="16">
        <v>653.33879999999999</v>
      </c>
      <c r="K96" s="17">
        <v>492.45170000000002</v>
      </c>
      <c r="M96" s="14">
        <v>12</v>
      </c>
      <c r="N96" s="15">
        <v>11058</v>
      </c>
      <c r="O96" s="16">
        <v>81.510360000000006</v>
      </c>
      <c r="P96" s="16">
        <v>120.0458</v>
      </c>
      <c r="Q96" s="16">
        <v>117.6193</v>
      </c>
      <c r="R96" s="16">
        <v>123.00409999999999</v>
      </c>
      <c r="S96" s="16">
        <v>110.9414</v>
      </c>
      <c r="T96" s="16">
        <v>117.5849</v>
      </c>
      <c r="U96" s="16">
        <v>659.7595</v>
      </c>
      <c r="V96" s="17">
        <v>486.33150000000001</v>
      </c>
    </row>
    <row r="97" spans="2:22" x14ac:dyDescent="0.25">
      <c r="B97" s="14">
        <v>24</v>
      </c>
      <c r="C97" s="15">
        <v>56396</v>
      </c>
      <c r="D97" s="16">
        <v>44.178179999999998</v>
      </c>
      <c r="E97" s="16">
        <v>274.81939999999997</v>
      </c>
      <c r="F97" s="16">
        <v>261.81119999999999</v>
      </c>
      <c r="G97" s="16">
        <v>286.44720000000001</v>
      </c>
      <c r="H97" s="16">
        <v>253.04939999999999</v>
      </c>
      <c r="I97" s="16">
        <v>266.69740000000002</v>
      </c>
      <c r="J97" s="16">
        <v>653.25540000000001</v>
      </c>
      <c r="K97" s="17">
        <v>496.83409999999998</v>
      </c>
      <c r="M97" s="14">
        <v>24</v>
      </c>
      <c r="N97" s="15">
        <v>20472</v>
      </c>
      <c r="O97" s="16">
        <v>101.06359999999999</v>
      </c>
      <c r="P97" s="16">
        <v>165.42189999999999</v>
      </c>
      <c r="Q97" s="16">
        <v>158.27369999999999</v>
      </c>
      <c r="R97" s="16">
        <v>172.74260000000001</v>
      </c>
      <c r="S97" s="16">
        <v>152.55160000000001</v>
      </c>
      <c r="T97" s="16">
        <v>160.3313</v>
      </c>
      <c r="U97" s="16">
        <v>671.803</v>
      </c>
      <c r="V97" s="17">
        <v>481.28480000000002</v>
      </c>
    </row>
    <row r="98" spans="2:22" x14ac:dyDescent="0.25">
      <c r="B98" s="14">
        <v>36</v>
      </c>
      <c r="C98" s="15">
        <v>56039</v>
      </c>
      <c r="D98" s="16">
        <v>29.439990000000002</v>
      </c>
      <c r="E98" s="16">
        <v>277.39589999999998</v>
      </c>
      <c r="F98" s="16">
        <v>258.85160000000002</v>
      </c>
      <c r="G98" s="16">
        <v>291.35890000000001</v>
      </c>
      <c r="H98" s="16">
        <v>248.8715</v>
      </c>
      <c r="I98" s="16">
        <v>265.36200000000002</v>
      </c>
      <c r="J98" s="16">
        <v>650.28060000000005</v>
      </c>
      <c r="K98" s="17">
        <v>496.42079999999999</v>
      </c>
      <c r="M98" s="14">
        <v>36</v>
      </c>
      <c r="N98" s="15">
        <v>18746</v>
      </c>
      <c r="O98" s="16">
        <v>152.18889999999999</v>
      </c>
      <c r="P98" s="16">
        <v>162.93119999999999</v>
      </c>
      <c r="Q98" s="16">
        <v>147.15870000000001</v>
      </c>
      <c r="R98" s="16">
        <v>173.85050000000001</v>
      </c>
      <c r="S98" s="16">
        <v>140.00360000000001</v>
      </c>
      <c r="T98" s="16">
        <v>153.31909999999999</v>
      </c>
      <c r="U98" s="16">
        <v>673.41840000000002</v>
      </c>
      <c r="V98" s="17">
        <v>472.0652</v>
      </c>
    </row>
    <row r="99" spans="2:22" x14ac:dyDescent="0.25">
      <c r="B99" s="14">
        <v>48</v>
      </c>
      <c r="C99" s="15">
        <v>54201</v>
      </c>
      <c r="D99" s="16">
        <v>48.756100000000004</v>
      </c>
      <c r="E99" s="16">
        <v>268.43579999999997</v>
      </c>
      <c r="F99" s="16">
        <v>257.49759999999998</v>
      </c>
      <c r="G99" s="16">
        <v>280.95729999999998</v>
      </c>
      <c r="H99" s="16">
        <v>248.8715</v>
      </c>
      <c r="I99" s="16">
        <v>261.45690000000002</v>
      </c>
      <c r="J99" s="16">
        <v>648.81320000000005</v>
      </c>
      <c r="K99" s="17">
        <v>497.30329999999998</v>
      </c>
      <c r="M99" s="14">
        <v>48</v>
      </c>
      <c r="N99" s="15">
        <v>20162</v>
      </c>
      <c r="O99" s="16">
        <v>162.3656</v>
      </c>
      <c r="P99" s="16">
        <v>169.7533</v>
      </c>
      <c r="Q99" s="16">
        <v>152.05420000000001</v>
      </c>
      <c r="R99" s="16">
        <v>176.11930000000001</v>
      </c>
      <c r="S99" s="16">
        <v>144.2671</v>
      </c>
      <c r="T99" s="16">
        <v>158.9444</v>
      </c>
      <c r="U99" s="16">
        <v>678.23869999999999</v>
      </c>
      <c r="V99" s="17">
        <v>484.11250000000001</v>
      </c>
    </row>
    <row r="100" spans="2:22" x14ac:dyDescent="0.25">
      <c r="B100" s="5"/>
      <c r="K100" s="6"/>
      <c r="M100" s="5"/>
      <c r="V100" s="6"/>
    </row>
    <row r="101" spans="2:22" x14ac:dyDescent="0.25">
      <c r="B101" s="5" t="s">
        <v>34</v>
      </c>
      <c r="K101" s="6"/>
      <c r="M101" s="5" t="s">
        <v>35</v>
      </c>
      <c r="V101" s="6"/>
    </row>
    <row r="102" spans="2:22" s="1" customFormat="1" x14ac:dyDescent="0.25">
      <c r="B102" s="5" t="s">
        <v>0</v>
      </c>
      <c r="C102" s="1" t="s">
        <v>3</v>
      </c>
      <c r="D102" s="7" t="s">
        <v>4</v>
      </c>
      <c r="E102" s="7" t="s">
        <v>5</v>
      </c>
      <c r="F102" s="7" t="s">
        <v>6</v>
      </c>
      <c r="G102" s="7" t="s">
        <v>7</v>
      </c>
      <c r="H102" s="7" t="s">
        <v>8</v>
      </c>
      <c r="I102" s="7" t="s">
        <v>9</v>
      </c>
      <c r="J102" s="7" t="s">
        <v>10</v>
      </c>
      <c r="K102" s="8" t="s">
        <v>11</v>
      </c>
      <c r="M102" s="5" t="s">
        <v>0</v>
      </c>
      <c r="N102" s="1" t="s">
        <v>3</v>
      </c>
      <c r="O102" s="7" t="s">
        <v>4</v>
      </c>
      <c r="P102" s="7" t="s">
        <v>5</v>
      </c>
      <c r="Q102" s="7" t="s">
        <v>6</v>
      </c>
      <c r="R102" s="7" t="s">
        <v>7</v>
      </c>
      <c r="S102" s="7" t="s">
        <v>8</v>
      </c>
      <c r="T102" s="7" t="s">
        <v>9</v>
      </c>
      <c r="U102" s="7" t="s">
        <v>10</v>
      </c>
      <c r="V102" s="8" t="s">
        <v>11</v>
      </c>
    </row>
    <row r="103" spans="2:22" x14ac:dyDescent="0.25">
      <c r="B103" s="5">
        <v>0</v>
      </c>
      <c r="C103">
        <v>24018</v>
      </c>
      <c r="D103" s="2">
        <v>54.305430000000001</v>
      </c>
      <c r="E103" s="2">
        <v>181.92830000000001</v>
      </c>
      <c r="F103" s="2">
        <v>168.63390000000001</v>
      </c>
      <c r="G103" s="2">
        <v>193.3417</v>
      </c>
      <c r="H103" s="2">
        <v>160.90989999999999</v>
      </c>
      <c r="I103" s="2">
        <v>173.5865</v>
      </c>
      <c r="J103" s="2">
        <v>647.51419999999996</v>
      </c>
      <c r="K103" s="6">
        <v>468.685</v>
      </c>
      <c r="M103" s="5">
        <v>0</v>
      </c>
      <c r="N103">
        <v>9803</v>
      </c>
      <c r="O103" s="2">
        <v>79.170599999999993</v>
      </c>
      <c r="P103" s="2">
        <v>124.4123</v>
      </c>
      <c r="Q103" s="2">
        <v>100.5295</v>
      </c>
      <c r="R103" s="2">
        <v>127.122</v>
      </c>
      <c r="S103" s="2">
        <v>98.371740000000003</v>
      </c>
      <c r="T103" s="2">
        <v>110.4552</v>
      </c>
      <c r="U103" s="2">
        <v>652.97059999999999</v>
      </c>
      <c r="V103" s="6">
        <v>464.77350000000001</v>
      </c>
    </row>
    <row r="104" spans="2:22" x14ac:dyDescent="0.25">
      <c r="B104" s="5">
        <v>12</v>
      </c>
      <c r="C104">
        <v>36627</v>
      </c>
      <c r="D104" s="2">
        <v>63.112740000000002</v>
      </c>
      <c r="E104" s="2">
        <v>222.76079999999999</v>
      </c>
      <c r="F104" s="2">
        <v>209.61879999999999</v>
      </c>
      <c r="G104" s="2">
        <v>228.40530000000001</v>
      </c>
      <c r="H104" s="2">
        <v>201.9554</v>
      </c>
      <c r="I104" s="2">
        <v>214.86099999999999</v>
      </c>
      <c r="J104" s="2">
        <v>656.87139999999999</v>
      </c>
      <c r="K104" s="6">
        <v>470.24930000000001</v>
      </c>
      <c r="M104" s="5">
        <v>12</v>
      </c>
      <c r="N104">
        <v>12466</v>
      </c>
      <c r="O104" s="2">
        <v>94.695650000000001</v>
      </c>
      <c r="P104" s="2">
        <v>135.0916</v>
      </c>
      <c r="Q104" s="2">
        <v>117.8049</v>
      </c>
      <c r="R104" s="2">
        <v>137.61539999999999</v>
      </c>
      <c r="S104" s="2">
        <v>113.4637</v>
      </c>
      <c r="T104" s="2">
        <v>124.7811</v>
      </c>
      <c r="U104" s="2">
        <v>661.6653</v>
      </c>
      <c r="V104" s="6">
        <v>473.9785</v>
      </c>
    </row>
    <row r="105" spans="2:22" x14ac:dyDescent="0.25">
      <c r="B105" s="5">
        <v>24</v>
      </c>
      <c r="C105">
        <v>59683</v>
      </c>
      <c r="D105" s="2">
        <v>79.550960000000003</v>
      </c>
      <c r="E105" s="2">
        <v>283.10449999999997</v>
      </c>
      <c r="F105" s="2">
        <v>268.8048</v>
      </c>
      <c r="G105" s="2">
        <v>290.92950000000002</v>
      </c>
      <c r="H105" s="2">
        <v>261.0172</v>
      </c>
      <c r="I105" s="2">
        <v>274.40480000000002</v>
      </c>
      <c r="J105" s="2">
        <v>653.96439999999996</v>
      </c>
      <c r="K105" s="6">
        <v>464.5009</v>
      </c>
      <c r="M105" s="5">
        <v>24</v>
      </c>
      <c r="N105">
        <v>13780</v>
      </c>
      <c r="O105" s="2">
        <v>129.73089999999999</v>
      </c>
      <c r="P105" s="2">
        <v>137.52160000000001</v>
      </c>
      <c r="Q105" s="2">
        <v>127.94070000000001</v>
      </c>
      <c r="R105" s="2">
        <v>141.66159999999999</v>
      </c>
      <c r="S105" s="2">
        <v>116.81180000000001</v>
      </c>
      <c r="T105" s="2">
        <v>131.28880000000001</v>
      </c>
      <c r="U105" s="2">
        <v>669.58950000000004</v>
      </c>
      <c r="V105" s="6">
        <v>464.29169999999999</v>
      </c>
    </row>
    <row r="106" spans="2:22" x14ac:dyDescent="0.25">
      <c r="B106" s="5">
        <v>36</v>
      </c>
      <c r="C106">
        <v>59475</v>
      </c>
      <c r="D106" s="2">
        <v>60.20673</v>
      </c>
      <c r="E106" s="2">
        <v>281.52319999999997</v>
      </c>
      <c r="F106" s="2">
        <v>269.29320000000001</v>
      </c>
      <c r="G106" s="2">
        <v>285.61689999999999</v>
      </c>
      <c r="H106" s="2">
        <v>259.9769</v>
      </c>
      <c r="I106" s="2">
        <v>273.96780000000001</v>
      </c>
      <c r="J106" s="2">
        <v>651.56870000000004</v>
      </c>
      <c r="K106" s="6">
        <v>473.92570000000001</v>
      </c>
      <c r="M106" s="5">
        <v>36</v>
      </c>
      <c r="N106">
        <v>22954</v>
      </c>
      <c r="O106" s="2">
        <v>50.430570000000003</v>
      </c>
      <c r="P106" s="2">
        <v>182.99700000000001</v>
      </c>
      <c r="Q106" s="2">
        <v>160.28819999999999</v>
      </c>
      <c r="R106" s="2">
        <v>188.16220000000001</v>
      </c>
      <c r="S106" s="2">
        <v>149.91329999999999</v>
      </c>
      <c r="T106" s="2">
        <v>169.4726</v>
      </c>
      <c r="U106" s="2">
        <v>678.49990000000003</v>
      </c>
      <c r="V106" s="6">
        <v>469.89429999999999</v>
      </c>
    </row>
    <row r="107" spans="2:22" x14ac:dyDescent="0.25">
      <c r="B107" s="5">
        <v>48</v>
      </c>
      <c r="C107">
        <v>58815</v>
      </c>
      <c r="D107" s="2">
        <v>84.896069999999995</v>
      </c>
      <c r="E107" s="2">
        <v>280.87099999999998</v>
      </c>
      <c r="F107" s="2">
        <v>267.10079999999999</v>
      </c>
      <c r="G107" s="2">
        <v>290.07760000000002</v>
      </c>
      <c r="H107" s="2">
        <v>259.94229999999999</v>
      </c>
      <c r="I107" s="2">
        <v>272.35860000000002</v>
      </c>
      <c r="J107" s="2">
        <v>650.23620000000005</v>
      </c>
      <c r="K107" s="6">
        <v>473.96409999999997</v>
      </c>
      <c r="M107" s="5">
        <v>48</v>
      </c>
      <c r="N107">
        <v>19305</v>
      </c>
      <c r="O107" s="2">
        <v>36.109380000000002</v>
      </c>
      <c r="P107" s="2">
        <v>174.7552</v>
      </c>
      <c r="Q107" s="2">
        <v>141.90639999999999</v>
      </c>
      <c r="R107" s="2">
        <v>177.55279999999999</v>
      </c>
      <c r="S107" s="2">
        <v>125.17189999999999</v>
      </c>
      <c r="T107" s="2">
        <v>154.7304</v>
      </c>
      <c r="U107" s="2">
        <v>675.74270000000001</v>
      </c>
      <c r="V107" s="6">
        <v>454.26080000000002</v>
      </c>
    </row>
    <row r="108" spans="2:22" x14ac:dyDescent="0.25">
      <c r="B108" s="5"/>
      <c r="K108" s="6"/>
      <c r="M108" s="5"/>
      <c r="V108" s="6"/>
    </row>
    <row r="109" spans="2:22" x14ac:dyDescent="0.25">
      <c r="B109" s="14" t="s">
        <v>36</v>
      </c>
      <c r="C109" s="15"/>
      <c r="D109" s="16"/>
      <c r="E109" s="16"/>
      <c r="F109" s="16"/>
      <c r="G109" s="16"/>
      <c r="H109" s="16"/>
      <c r="I109" s="16"/>
      <c r="J109" s="16"/>
      <c r="K109" s="17"/>
      <c r="M109" s="14" t="s">
        <v>37</v>
      </c>
      <c r="N109" s="15"/>
      <c r="O109" s="16"/>
      <c r="P109" s="16"/>
      <c r="Q109" s="16"/>
      <c r="R109" s="16"/>
      <c r="S109" s="16"/>
      <c r="T109" s="16"/>
      <c r="U109" s="16"/>
      <c r="V109" s="17"/>
    </row>
    <row r="110" spans="2:22" s="1" customFormat="1" x14ac:dyDescent="0.25">
      <c r="B110" s="14" t="s">
        <v>0</v>
      </c>
      <c r="C110" s="18" t="s">
        <v>3</v>
      </c>
      <c r="D110" s="19" t="s">
        <v>4</v>
      </c>
      <c r="E110" s="19" t="s">
        <v>5</v>
      </c>
      <c r="F110" s="19" t="s">
        <v>6</v>
      </c>
      <c r="G110" s="19" t="s">
        <v>7</v>
      </c>
      <c r="H110" s="19" t="s">
        <v>8</v>
      </c>
      <c r="I110" s="19" t="s">
        <v>9</v>
      </c>
      <c r="J110" s="19" t="s">
        <v>10</v>
      </c>
      <c r="K110" s="20" t="s">
        <v>11</v>
      </c>
      <c r="M110" s="14" t="s">
        <v>0</v>
      </c>
      <c r="N110" s="18" t="s">
        <v>3</v>
      </c>
      <c r="O110" s="19" t="s">
        <v>4</v>
      </c>
      <c r="P110" s="19" t="s">
        <v>5</v>
      </c>
      <c r="Q110" s="19" t="s">
        <v>6</v>
      </c>
      <c r="R110" s="19" t="s">
        <v>7</v>
      </c>
      <c r="S110" s="19" t="s">
        <v>8</v>
      </c>
      <c r="T110" s="19" t="s">
        <v>9</v>
      </c>
      <c r="U110" s="19" t="s">
        <v>10</v>
      </c>
      <c r="V110" s="20" t="s">
        <v>11</v>
      </c>
    </row>
    <row r="111" spans="2:22" x14ac:dyDescent="0.25">
      <c r="B111" s="14">
        <v>0</v>
      </c>
      <c r="C111" s="15">
        <v>20771</v>
      </c>
      <c r="D111" s="16">
        <v>82.512630000000001</v>
      </c>
      <c r="E111" s="16">
        <v>181.0352</v>
      </c>
      <c r="F111" s="16">
        <v>146.2407</v>
      </c>
      <c r="G111" s="16">
        <v>185.16210000000001</v>
      </c>
      <c r="H111" s="16">
        <v>143.0035</v>
      </c>
      <c r="I111" s="16">
        <v>160.99639999999999</v>
      </c>
      <c r="J111" s="16">
        <v>661.78070000000002</v>
      </c>
      <c r="K111" s="17">
        <v>503.28269999999998</v>
      </c>
      <c r="M111" s="14">
        <v>0</v>
      </c>
      <c r="N111" s="15">
        <v>9822</v>
      </c>
      <c r="O111" s="16">
        <v>102.3857</v>
      </c>
      <c r="P111" s="16">
        <v>122.20140000000001</v>
      </c>
      <c r="Q111" s="16">
        <v>102.637</v>
      </c>
      <c r="R111" s="16">
        <v>121.5936</v>
      </c>
      <c r="S111" s="16">
        <v>94.24436</v>
      </c>
      <c r="T111" s="16">
        <v>110.4984</v>
      </c>
      <c r="U111" s="16">
        <v>651.47159999999997</v>
      </c>
      <c r="V111" s="17">
        <v>504.15809999999999</v>
      </c>
    </row>
    <row r="112" spans="2:22" x14ac:dyDescent="0.25">
      <c r="B112" s="14">
        <v>12</v>
      </c>
      <c r="C112" s="15">
        <v>34566</v>
      </c>
      <c r="D112" s="16">
        <v>82.821920000000006</v>
      </c>
      <c r="E112" s="16">
        <v>218.8665</v>
      </c>
      <c r="F112" s="16">
        <v>201.4479</v>
      </c>
      <c r="G112" s="16">
        <v>230.2433</v>
      </c>
      <c r="H112" s="16">
        <v>194.9282</v>
      </c>
      <c r="I112" s="16">
        <v>208.5949</v>
      </c>
      <c r="J112" s="16">
        <v>666.5652</v>
      </c>
      <c r="K112" s="17">
        <v>493.75439999999998</v>
      </c>
      <c r="M112" s="14">
        <v>12</v>
      </c>
      <c r="N112" s="15">
        <v>13526</v>
      </c>
      <c r="O112" s="16">
        <v>91.88158</v>
      </c>
      <c r="P112" s="16">
        <v>145.0104</v>
      </c>
      <c r="Q112" s="16">
        <v>119.2544</v>
      </c>
      <c r="R112" s="16">
        <v>150.4427</v>
      </c>
      <c r="S112" s="16">
        <v>111</v>
      </c>
      <c r="T112" s="16">
        <v>129.7174</v>
      </c>
      <c r="U112" s="16">
        <v>651.25229999999999</v>
      </c>
      <c r="V112" s="17">
        <v>498.07010000000002</v>
      </c>
    </row>
    <row r="113" spans="2:22" x14ac:dyDescent="0.25">
      <c r="B113" s="14">
        <v>24</v>
      </c>
      <c r="C113" s="15">
        <v>54626</v>
      </c>
      <c r="D113" s="16">
        <v>84.028379999999999</v>
      </c>
      <c r="E113" s="16">
        <v>278.6558</v>
      </c>
      <c r="F113" s="16">
        <v>249.82329999999999</v>
      </c>
      <c r="G113" s="16">
        <v>288.41980000000001</v>
      </c>
      <c r="H113" s="16">
        <v>245.2774</v>
      </c>
      <c r="I113" s="16">
        <v>262.45960000000002</v>
      </c>
      <c r="J113" s="16">
        <v>666.42570000000001</v>
      </c>
      <c r="K113" s="17">
        <v>499.22770000000003</v>
      </c>
      <c r="M113" s="14">
        <v>24</v>
      </c>
      <c r="N113" s="15">
        <v>18924</v>
      </c>
      <c r="O113" s="16">
        <v>44.724249999999998</v>
      </c>
      <c r="P113" s="16">
        <v>163.71360000000001</v>
      </c>
      <c r="Q113" s="16">
        <v>147.42250000000001</v>
      </c>
      <c r="R113" s="16">
        <v>163.9177</v>
      </c>
      <c r="S113" s="16">
        <v>141.01419999999999</v>
      </c>
      <c r="T113" s="16">
        <v>154.03790000000001</v>
      </c>
      <c r="U113" s="16">
        <v>636.37490000000003</v>
      </c>
      <c r="V113" s="17">
        <v>500.68299999999999</v>
      </c>
    </row>
    <row r="114" spans="2:22" x14ac:dyDescent="0.25">
      <c r="B114" s="14">
        <v>36</v>
      </c>
      <c r="C114" s="15">
        <v>55267</v>
      </c>
      <c r="D114" s="16">
        <v>74.325050000000005</v>
      </c>
      <c r="E114" s="16">
        <v>274.82330000000002</v>
      </c>
      <c r="F114" s="16">
        <v>256.47059999999999</v>
      </c>
      <c r="G114" s="16">
        <v>287.90280000000001</v>
      </c>
      <c r="H114" s="16">
        <v>249.7038</v>
      </c>
      <c r="I114" s="16">
        <v>263.95699999999999</v>
      </c>
      <c r="J114" s="16">
        <v>668.09630000000004</v>
      </c>
      <c r="K114" s="17">
        <v>497.32240000000002</v>
      </c>
      <c r="M114" s="14">
        <v>36</v>
      </c>
      <c r="N114" s="15">
        <v>20203</v>
      </c>
      <c r="O114" s="16">
        <v>72.925169999999994</v>
      </c>
      <c r="P114" s="16">
        <v>172.51300000000001</v>
      </c>
      <c r="Q114" s="16">
        <v>149.91229999999999</v>
      </c>
      <c r="R114" s="16">
        <v>174.25559999999999</v>
      </c>
      <c r="S114" s="16">
        <v>141.79560000000001</v>
      </c>
      <c r="T114" s="16">
        <v>159.00989999999999</v>
      </c>
      <c r="U114" s="16">
        <v>641.09630000000004</v>
      </c>
      <c r="V114" s="17">
        <v>496.1114</v>
      </c>
    </row>
    <row r="115" spans="2:22" x14ac:dyDescent="0.25">
      <c r="B115" s="14">
        <v>48</v>
      </c>
      <c r="C115" s="15">
        <v>53208</v>
      </c>
      <c r="D115" s="16">
        <v>81.178299999999993</v>
      </c>
      <c r="E115" s="16">
        <v>279.54759999999999</v>
      </c>
      <c r="F115" s="16">
        <v>242.56540000000001</v>
      </c>
      <c r="G115" s="16">
        <v>285.41370000000001</v>
      </c>
      <c r="H115" s="16">
        <v>238.03360000000001</v>
      </c>
      <c r="I115" s="16">
        <v>258.90010000000001</v>
      </c>
      <c r="J115" s="16">
        <v>668.62559999999996</v>
      </c>
      <c r="K115" s="17">
        <v>502.4787</v>
      </c>
      <c r="M115" s="14">
        <v>48</v>
      </c>
      <c r="N115" s="15">
        <v>21283</v>
      </c>
      <c r="O115" s="16">
        <v>163.55449999999999</v>
      </c>
      <c r="P115" s="16">
        <v>168.67269999999999</v>
      </c>
      <c r="Q115" s="16">
        <v>161.4085</v>
      </c>
      <c r="R115" s="16">
        <v>172.79470000000001</v>
      </c>
      <c r="S115" s="16">
        <v>148.94630000000001</v>
      </c>
      <c r="T115" s="16">
        <v>163.3716</v>
      </c>
      <c r="U115" s="16">
        <v>635.21109999999999</v>
      </c>
      <c r="V115" s="17">
        <v>508.07690000000002</v>
      </c>
    </row>
    <row r="116" spans="2:22" x14ac:dyDescent="0.25">
      <c r="B116" s="5"/>
      <c r="K116" s="6"/>
      <c r="M116" s="5"/>
      <c r="V116" s="6"/>
    </row>
    <row r="117" spans="2:22" x14ac:dyDescent="0.25">
      <c r="B117" s="5" t="s">
        <v>38</v>
      </c>
      <c r="K117" s="6"/>
      <c r="M117" s="5" t="s">
        <v>39</v>
      </c>
      <c r="V117" s="6"/>
    </row>
    <row r="118" spans="2:22" s="1" customFormat="1" x14ac:dyDescent="0.25">
      <c r="B118" s="5" t="s">
        <v>0</v>
      </c>
      <c r="C118" s="1" t="s">
        <v>3</v>
      </c>
      <c r="D118" s="7" t="s">
        <v>4</v>
      </c>
      <c r="E118" s="7" t="s">
        <v>5</v>
      </c>
      <c r="F118" s="7" t="s">
        <v>6</v>
      </c>
      <c r="G118" s="7" t="s">
        <v>7</v>
      </c>
      <c r="H118" s="7" t="s">
        <v>8</v>
      </c>
      <c r="I118" s="7" t="s">
        <v>9</v>
      </c>
      <c r="J118" s="7" t="s">
        <v>10</v>
      </c>
      <c r="K118" s="8" t="s">
        <v>11</v>
      </c>
      <c r="M118" s="5" t="s">
        <v>0</v>
      </c>
      <c r="N118" s="1" t="s">
        <v>3</v>
      </c>
      <c r="O118" s="7" t="s">
        <v>4</v>
      </c>
      <c r="P118" s="7" t="s">
        <v>5</v>
      </c>
      <c r="Q118" s="7" t="s">
        <v>6</v>
      </c>
      <c r="R118" s="7" t="s">
        <v>7</v>
      </c>
      <c r="S118" s="7" t="s">
        <v>8</v>
      </c>
      <c r="T118" s="7" t="s">
        <v>9</v>
      </c>
      <c r="U118" s="7" t="s">
        <v>10</v>
      </c>
      <c r="V118" s="8" t="s">
        <v>11</v>
      </c>
    </row>
    <row r="119" spans="2:22" x14ac:dyDescent="0.25">
      <c r="B119" s="5">
        <v>0</v>
      </c>
      <c r="C119">
        <v>24835</v>
      </c>
      <c r="D119" s="2">
        <v>132.55930000000001</v>
      </c>
      <c r="E119" s="2">
        <v>182.25239999999999</v>
      </c>
      <c r="F119" s="2">
        <v>173.76990000000001</v>
      </c>
      <c r="G119" s="2">
        <v>185.97309999999999</v>
      </c>
      <c r="H119" s="2">
        <v>167.2423</v>
      </c>
      <c r="I119" s="2">
        <v>176.86150000000001</v>
      </c>
      <c r="J119" s="2">
        <v>647.94569999999999</v>
      </c>
      <c r="K119" s="6">
        <v>502.60230000000001</v>
      </c>
      <c r="M119" s="5">
        <v>0</v>
      </c>
      <c r="N119">
        <v>8287</v>
      </c>
      <c r="O119" s="2">
        <v>118.9019</v>
      </c>
      <c r="P119" s="2">
        <v>106.6716</v>
      </c>
      <c r="Q119" s="2">
        <v>99.120940000000004</v>
      </c>
      <c r="R119" s="2">
        <v>109</v>
      </c>
      <c r="S119" s="2">
        <v>94.826160000000002</v>
      </c>
      <c r="T119" s="2">
        <v>101.66930000000001</v>
      </c>
      <c r="U119" s="2">
        <v>648.98260000000005</v>
      </c>
      <c r="V119" s="6">
        <v>500.8682</v>
      </c>
    </row>
    <row r="120" spans="2:22" x14ac:dyDescent="0.25">
      <c r="B120" s="5">
        <v>12</v>
      </c>
      <c r="C120">
        <v>41128</v>
      </c>
      <c r="D120" s="2">
        <v>100.5403</v>
      </c>
      <c r="E120" s="2">
        <v>248.05119999999999</v>
      </c>
      <c r="F120" s="2">
        <v>211.5472</v>
      </c>
      <c r="G120" s="2">
        <v>257.34410000000003</v>
      </c>
      <c r="H120" s="2">
        <v>202</v>
      </c>
      <c r="I120" s="2">
        <v>227.36259999999999</v>
      </c>
      <c r="J120" s="2">
        <v>649.96090000000004</v>
      </c>
      <c r="K120" s="6">
        <v>504.8449</v>
      </c>
      <c r="M120" s="5">
        <v>12</v>
      </c>
      <c r="N120">
        <v>20068</v>
      </c>
      <c r="O120" s="2">
        <v>113.7182</v>
      </c>
      <c r="P120" s="2">
        <v>173.18979999999999</v>
      </c>
      <c r="Q120" s="2">
        <v>147.83969999999999</v>
      </c>
      <c r="R120" s="2">
        <v>176.11930000000001</v>
      </c>
      <c r="S120" s="2">
        <v>140.0643</v>
      </c>
      <c r="T120" s="2">
        <v>158.5188</v>
      </c>
      <c r="U120" s="2">
        <v>657.67939999999999</v>
      </c>
      <c r="V120" s="6">
        <v>507.16489999999999</v>
      </c>
    </row>
    <row r="121" spans="2:22" x14ac:dyDescent="0.25">
      <c r="B121" s="5">
        <v>24</v>
      </c>
      <c r="C121">
        <v>62633</v>
      </c>
      <c r="D121" s="2">
        <v>98.716049999999996</v>
      </c>
      <c r="E121" s="2">
        <v>305.24939999999998</v>
      </c>
      <c r="F121" s="2">
        <v>262.02600000000001</v>
      </c>
      <c r="G121" s="2">
        <v>315.01749999999998</v>
      </c>
      <c r="H121" s="2">
        <v>247.00200000000001</v>
      </c>
      <c r="I121" s="2">
        <v>280.58</v>
      </c>
      <c r="J121" s="2">
        <v>651.65480000000002</v>
      </c>
      <c r="K121" s="6">
        <v>508.32859999999999</v>
      </c>
      <c r="M121" s="5">
        <v>24</v>
      </c>
      <c r="N121">
        <v>24401</v>
      </c>
      <c r="O121" s="2">
        <v>97.615380000000002</v>
      </c>
      <c r="P121" s="2">
        <v>187.16059999999999</v>
      </c>
      <c r="Q121" s="2">
        <v>166.3613</v>
      </c>
      <c r="R121" s="2">
        <v>191.9427</v>
      </c>
      <c r="S121" s="2">
        <v>161.24510000000001</v>
      </c>
      <c r="T121" s="2">
        <v>174.93299999999999</v>
      </c>
      <c r="U121" s="2">
        <v>671.8193</v>
      </c>
      <c r="V121" s="6">
        <v>508.5668</v>
      </c>
    </row>
    <row r="122" spans="2:22" x14ac:dyDescent="0.25">
      <c r="B122" s="5">
        <v>36</v>
      </c>
      <c r="C122">
        <v>63400</v>
      </c>
      <c r="D122" s="2">
        <v>96.541399999999996</v>
      </c>
      <c r="E122" s="2">
        <v>306.35789999999997</v>
      </c>
      <c r="F122" s="2">
        <v>263.86200000000002</v>
      </c>
      <c r="G122" s="2">
        <v>312.05930000000001</v>
      </c>
      <c r="H122" s="2">
        <v>253.0316</v>
      </c>
      <c r="I122" s="2">
        <v>282.48759999999999</v>
      </c>
      <c r="J122" s="2">
        <v>649.2885</v>
      </c>
      <c r="K122" s="6">
        <v>505.42340000000002</v>
      </c>
      <c r="M122" s="5">
        <v>36</v>
      </c>
      <c r="N122">
        <v>26929</v>
      </c>
      <c r="O122" s="2">
        <v>101.1365</v>
      </c>
      <c r="P122" s="2">
        <v>197.52090000000001</v>
      </c>
      <c r="Q122" s="2">
        <v>174.53829999999999</v>
      </c>
      <c r="R122" s="2">
        <v>206.7003</v>
      </c>
      <c r="S122" s="2">
        <v>158.5181</v>
      </c>
      <c r="T122" s="2">
        <v>183.55609999999999</v>
      </c>
      <c r="U122" s="2">
        <v>674.46280000000002</v>
      </c>
      <c r="V122" s="6">
        <v>512.36170000000004</v>
      </c>
    </row>
    <row r="123" spans="2:22" x14ac:dyDescent="0.25">
      <c r="B123" s="5">
        <v>48</v>
      </c>
      <c r="C123">
        <v>62425</v>
      </c>
      <c r="D123" s="2">
        <v>99.676180000000002</v>
      </c>
      <c r="E123" s="2">
        <v>303.80349999999999</v>
      </c>
      <c r="F123" s="2">
        <v>262.24059999999997</v>
      </c>
      <c r="G123" s="2">
        <v>319.11279999999999</v>
      </c>
      <c r="H123" s="2">
        <v>256.7586</v>
      </c>
      <c r="I123" s="2">
        <v>280.4665</v>
      </c>
      <c r="J123" s="2">
        <v>651.65940000000001</v>
      </c>
      <c r="K123" s="6">
        <v>508.30560000000003</v>
      </c>
      <c r="M123" s="5">
        <v>48</v>
      </c>
      <c r="N123">
        <v>27207</v>
      </c>
      <c r="O123" s="2">
        <v>106.5351</v>
      </c>
      <c r="P123" s="2">
        <v>198.7637</v>
      </c>
      <c r="Q123" s="2">
        <v>174.91409999999999</v>
      </c>
      <c r="R123" s="2">
        <v>205.52860000000001</v>
      </c>
      <c r="S123" s="2">
        <v>166.8322</v>
      </c>
      <c r="T123" s="2">
        <v>184.73689999999999</v>
      </c>
      <c r="U123" s="2">
        <v>678.66639999999995</v>
      </c>
      <c r="V123" s="6">
        <v>512.4316</v>
      </c>
    </row>
    <row r="124" spans="2:22" x14ac:dyDescent="0.25">
      <c r="B124" s="5"/>
      <c r="C124" s="9"/>
      <c r="K124" s="6"/>
      <c r="M124" s="5"/>
      <c r="V124" s="6"/>
    </row>
    <row r="125" spans="2:22" x14ac:dyDescent="0.25">
      <c r="B125" s="14" t="s">
        <v>40</v>
      </c>
      <c r="C125" s="15"/>
      <c r="D125" s="16"/>
      <c r="E125" s="16"/>
      <c r="F125" s="16"/>
      <c r="G125" s="16"/>
      <c r="H125" s="16"/>
      <c r="I125" s="16"/>
      <c r="J125" s="16"/>
      <c r="K125" s="17"/>
      <c r="M125" s="14" t="s">
        <v>41</v>
      </c>
      <c r="N125" s="15"/>
      <c r="O125" s="16"/>
      <c r="P125" s="16"/>
      <c r="Q125" s="16"/>
      <c r="R125" s="16"/>
      <c r="S125" s="16"/>
      <c r="T125" s="16"/>
      <c r="U125" s="16"/>
      <c r="V125" s="17"/>
    </row>
    <row r="126" spans="2:22" s="1" customFormat="1" x14ac:dyDescent="0.25">
      <c r="B126" s="14" t="s">
        <v>0</v>
      </c>
      <c r="C126" s="18" t="s">
        <v>3</v>
      </c>
      <c r="D126" s="19" t="s">
        <v>4</v>
      </c>
      <c r="E126" s="19" t="s">
        <v>5</v>
      </c>
      <c r="F126" s="19" t="s">
        <v>6</v>
      </c>
      <c r="G126" s="19" t="s">
        <v>7</v>
      </c>
      <c r="H126" s="19" t="s">
        <v>8</v>
      </c>
      <c r="I126" s="19" t="s">
        <v>9</v>
      </c>
      <c r="J126" s="19" t="s">
        <v>10</v>
      </c>
      <c r="K126" s="20" t="s">
        <v>11</v>
      </c>
      <c r="M126" s="14" t="s">
        <v>0</v>
      </c>
      <c r="N126" s="18" t="s">
        <v>3</v>
      </c>
      <c r="O126" s="19" t="s">
        <v>4</v>
      </c>
      <c r="P126" s="19" t="s">
        <v>5</v>
      </c>
      <c r="Q126" s="19" t="s">
        <v>6</v>
      </c>
      <c r="R126" s="19" t="s">
        <v>7</v>
      </c>
      <c r="S126" s="19" t="s">
        <v>8</v>
      </c>
      <c r="T126" s="19" t="s">
        <v>9</v>
      </c>
      <c r="U126" s="19" t="s">
        <v>10</v>
      </c>
      <c r="V126" s="20" t="s">
        <v>11</v>
      </c>
    </row>
    <row r="127" spans="2:22" x14ac:dyDescent="0.25">
      <c r="B127" s="14">
        <v>0</v>
      </c>
      <c r="C127" s="15">
        <v>19627</v>
      </c>
      <c r="D127" s="16">
        <v>81.089879999999994</v>
      </c>
      <c r="E127" s="16">
        <v>181.88419999999999</v>
      </c>
      <c r="F127" s="16">
        <v>138.15180000000001</v>
      </c>
      <c r="G127" s="16">
        <v>191.02359999999999</v>
      </c>
      <c r="H127" s="16">
        <v>131.47239999999999</v>
      </c>
      <c r="I127" s="16">
        <v>156.02430000000001</v>
      </c>
      <c r="J127" s="16">
        <v>641.23209999999995</v>
      </c>
      <c r="K127" s="17">
        <v>526.59680000000003</v>
      </c>
      <c r="M127" s="14">
        <v>0</v>
      </c>
      <c r="N127" s="15">
        <v>5754</v>
      </c>
      <c r="O127" s="16">
        <v>70.752449999999996</v>
      </c>
      <c r="P127" s="16">
        <v>90.021050000000002</v>
      </c>
      <c r="Q127" s="16">
        <v>81.91104</v>
      </c>
      <c r="R127" s="16">
        <v>92.048900000000003</v>
      </c>
      <c r="S127" s="16">
        <v>70.007140000000007</v>
      </c>
      <c r="T127" s="16">
        <v>84.300210000000007</v>
      </c>
      <c r="U127" s="16">
        <v>625.55319999999995</v>
      </c>
      <c r="V127" s="17">
        <v>526.86800000000005</v>
      </c>
    </row>
    <row r="128" spans="2:22" x14ac:dyDescent="0.25">
      <c r="B128" s="14">
        <v>12</v>
      </c>
      <c r="C128" s="15">
        <v>30955</v>
      </c>
      <c r="D128" s="16">
        <v>74.060230000000004</v>
      </c>
      <c r="E128" s="16">
        <v>206.227</v>
      </c>
      <c r="F128" s="16">
        <v>191.71610000000001</v>
      </c>
      <c r="G128" s="16">
        <v>222.00229999999999</v>
      </c>
      <c r="H128" s="16">
        <v>181.2319</v>
      </c>
      <c r="I128" s="16">
        <v>197.28700000000001</v>
      </c>
      <c r="J128" s="16">
        <v>639.35860000000002</v>
      </c>
      <c r="K128" s="17">
        <v>527.40729999999996</v>
      </c>
      <c r="M128" s="14">
        <v>12</v>
      </c>
      <c r="N128" s="15">
        <v>8427</v>
      </c>
      <c r="O128" s="16">
        <v>39.771039999999999</v>
      </c>
      <c r="P128" s="16">
        <v>109.15689999999999</v>
      </c>
      <c r="Q128" s="16">
        <v>99.016930000000002</v>
      </c>
      <c r="R128" s="16">
        <v>113.2961</v>
      </c>
      <c r="S128" s="16">
        <v>94.04786</v>
      </c>
      <c r="T128" s="16">
        <v>102.4083</v>
      </c>
      <c r="U128" s="16">
        <v>620.24429999999995</v>
      </c>
      <c r="V128" s="17">
        <v>533.43470000000002</v>
      </c>
    </row>
    <row r="129" spans="2:22" x14ac:dyDescent="0.25">
      <c r="B129" s="14">
        <v>24</v>
      </c>
      <c r="C129" s="15">
        <v>45697</v>
      </c>
      <c r="D129" s="16">
        <v>78.410049999999998</v>
      </c>
      <c r="E129" s="16">
        <v>258.8202</v>
      </c>
      <c r="F129" s="16">
        <v>225.21850000000001</v>
      </c>
      <c r="G129" s="16">
        <v>267.25450000000001</v>
      </c>
      <c r="H129" s="16">
        <v>220.0455</v>
      </c>
      <c r="I129" s="16">
        <v>239.7902</v>
      </c>
      <c r="J129" s="16">
        <v>641.51419999999996</v>
      </c>
      <c r="K129" s="17">
        <v>532.42049999999995</v>
      </c>
      <c r="M129" s="14">
        <v>24</v>
      </c>
      <c r="N129" s="15">
        <v>14178</v>
      </c>
      <c r="O129" s="16">
        <v>74.674239999999998</v>
      </c>
      <c r="P129" s="16">
        <v>145.5532</v>
      </c>
      <c r="Q129" s="16">
        <v>124.58839999999999</v>
      </c>
      <c r="R129" s="16">
        <v>147.1054</v>
      </c>
      <c r="S129" s="16">
        <v>117.51600000000001</v>
      </c>
      <c r="T129" s="16">
        <v>133.00290000000001</v>
      </c>
      <c r="U129" s="16">
        <v>621.89769999999999</v>
      </c>
      <c r="V129" s="17">
        <v>544.07920000000001</v>
      </c>
    </row>
    <row r="130" spans="2:22" x14ac:dyDescent="0.25">
      <c r="B130" s="14">
        <v>36</v>
      </c>
      <c r="C130" s="15">
        <v>42601</v>
      </c>
      <c r="D130" s="16">
        <v>75.768360000000001</v>
      </c>
      <c r="E130" s="16">
        <v>248.42599999999999</v>
      </c>
      <c r="F130" s="16">
        <v>218.85230000000001</v>
      </c>
      <c r="G130" s="16">
        <v>261.00189999999998</v>
      </c>
      <c r="H130" s="16">
        <v>208.7774</v>
      </c>
      <c r="I130" s="16">
        <v>231.26859999999999</v>
      </c>
      <c r="J130" s="16">
        <v>638.72059999999999</v>
      </c>
      <c r="K130" s="17">
        <v>534.91520000000003</v>
      </c>
      <c r="M130" s="14">
        <v>36</v>
      </c>
      <c r="N130" s="15">
        <v>10365</v>
      </c>
      <c r="O130" s="16">
        <v>55.377589999999998</v>
      </c>
      <c r="P130" s="16">
        <v>123.47969999999999</v>
      </c>
      <c r="Q130" s="16">
        <v>110.1934</v>
      </c>
      <c r="R130" s="16">
        <v>130.23060000000001</v>
      </c>
      <c r="S130" s="16">
        <v>93.171880000000002</v>
      </c>
      <c r="T130" s="16">
        <v>112.7608</v>
      </c>
      <c r="U130" s="16">
        <v>609.99659999999994</v>
      </c>
      <c r="V130" s="17">
        <v>541.81539999999995</v>
      </c>
    </row>
    <row r="131" spans="2:22" x14ac:dyDescent="0.25">
      <c r="B131" s="14">
        <v>48</v>
      </c>
      <c r="C131" s="15">
        <v>45351</v>
      </c>
      <c r="D131" s="16">
        <v>75.112440000000007</v>
      </c>
      <c r="E131" s="16">
        <v>253.6301</v>
      </c>
      <c r="F131" s="16">
        <v>228.2251</v>
      </c>
      <c r="G131" s="16">
        <v>264.18549999999999</v>
      </c>
      <c r="H131" s="16">
        <v>222.1036</v>
      </c>
      <c r="I131" s="16">
        <v>238.98009999999999</v>
      </c>
      <c r="J131" s="16">
        <v>637.44669999999996</v>
      </c>
      <c r="K131" s="17">
        <v>532.88009999999997</v>
      </c>
      <c r="M131" s="14">
        <v>48</v>
      </c>
      <c r="N131" s="15">
        <v>12905</v>
      </c>
      <c r="O131" s="16">
        <v>138.03299999999999</v>
      </c>
      <c r="P131" s="16">
        <v>131.28960000000001</v>
      </c>
      <c r="Q131" s="16">
        <v>126.4247</v>
      </c>
      <c r="R131" s="16">
        <v>143.05590000000001</v>
      </c>
      <c r="S131" s="16">
        <v>110.06359999999999</v>
      </c>
      <c r="T131" s="16">
        <v>126.4753</v>
      </c>
      <c r="U131" s="16">
        <v>613.23140000000001</v>
      </c>
      <c r="V131" s="17">
        <v>542.80740000000003</v>
      </c>
    </row>
    <row r="132" spans="2:22" ht="13.9" customHeight="1" x14ac:dyDescent="0.25">
      <c r="B132" s="5"/>
      <c r="K132" s="6"/>
      <c r="M132" s="5"/>
      <c r="V132" s="6"/>
    </row>
    <row r="133" spans="2:22" x14ac:dyDescent="0.25">
      <c r="B133" s="5" t="s">
        <v>42</v>
      </c>
      <c r="K133" s="6"/>
      <c r="M133" s="5" t="s">
        <v>43</v>
      </c>
      <c r="V133" s="6"/>
    </row>
    <row r="134" spans="2:22" s="1" customFormat="1" x14ac:dyDescent="0.25">
      <c r="B134" s="5" t="s">
        <v>0</v>
      </c>
      <c r="C134" s="1" t="s">
        <v>3</v>
      </c>
      <c r="D134" s="7" t="s">
        <v>4</v>
      </c>
      <c r="E134" s="7" t="s">
        <v>5</v>
      </c>
      <c r="F134" s="7" t="s">
        <v>6</v>
      </c>
      <c r="G134" s="7" t="s">
        <v>7</v>
      </c>
      <c r="H134" s="7" t="s">
        <v>8</v>
      </c>
      <c r="I134" s="7" t="s">
        <v>9</v>
      </c>
      <c r="J134" s="7" t="s">
        <v>10</v>
      </c>
      <c r="K134" s="8" t="s">
        <v>11</v>
      </c>
      <c r="M134" s="5" t="s">
        <v>0</v>
      </c>
      <c r="N134" s="1" t="s">
        <v>3</v>
      </c>
      <c r="O134" s="7" t="s">
        <v>4</v>
      </c>
      <c r="P134" s="7" t="s">
        <v>5</v>
      </c>
      <c r="Q134" s="7" t="s">
        <v>6</v>
      </c>
      <c r="R134" s="7" t="s">
        <v>7</v>
      </c>
      <c r="S134" s="7" t="s">
        <v>8</v>
      </c>
      <c r="T134" s="7" t="s">
        <v>9</v>
      </c>
      <c r="U134" s="7" t="s">
        <v>10</v>
      </c>
      <c r="V134" s="8" t="s">
        <v>11</v>
      </c>
    </row>
    <row r="135" spans="2:22" x14ac:dyDescent="0.25">
      <c r="B135" s="5">
        <v>0</v>
      </c>
      <c r="C135">
        <v>23653</v>
      </c>
      <c r="D135" s="2">
        <v>90.244429999999994</v>
      </c>
      <c r="E135" s="2">
        <v>179.4693</v>
      </c>
      <c r="F135" s="2">
        <v>168.99029999999999</v>
      </c>
      <c r="G135" s="2">
        <v>190.15780000000001</v>
      </c>
      <c r="H135" s="2">
        <v>146.9864</v>
      </c>
      <c r="I135" s="2">
        <v>172.06030000000001</v>
      </c>
      <c r="J135" s="2">
        <v>615.60910000000001</v>
      </c>
      <c r="K135" s="6">
        <v>485.36470000000003</v>
      </c>
      <c r="M135" s="5">
        <v>0</v>
      </c>
      <c r="N135">
        <v>7581</v>
      </c>
      <c r="O135" s="2">
        <v>54.738680000000002</v>
      </c>
      <c r="P135" s="2">
        <v>102.4939</v>
      </c>
      <c r="Q135" s="2">
        <v>94.608620000000002</v>
      </c>
      <c r="R135" s="2">
        <v>105.6788</v>
      </c>
      <c r="S135" s="2">
        <v>86.648719999999997</v>
      </c>
      <c r="T135" s="2">
        <v>97.122829999999993</v>
      </c>
      <c r="U135" s="2">
        <v>613.81910000000005</v>
      </c>
      <c r="V135" s="6">
        <v>486.7337</v>
      </c>
    </row>
    <row r="136" spans="2:22" x14ac:dyDescent="0.25">
      <c r="B136" s="5">
        <v>12</v>
      </c>
      <c r="C136">
        <v>39715</v>
      </c>
      <c r="D136" s="2">
        <v>102.4689</v>
      </c>
      <c r="E136" s="2">
        <v>235.24279999999999</v>
      </c>
      <c r="F136" s="2">
        <v>215.52780000000001</v>
      </c>
      <c r="G136" s="2">
        <v>243.9939</v>
      </c>
      <c r="H136" s="2">
        <v>204.00980000000001</v>
      </c>
      <c r="I136" s="2">
        <v>223.61009999999999</v>
      </c>
      <c r="J136" s="2">
        <v>615.78719999999998</v>
      </c>
      <c r="K136" s="6">
        <v>485.24959999999999</v>
      </c>
      <c r="M136" s="5">
        <v>12</v>
      </c>
      <c r="N136">
        <v>11276</v>
      </c>
      <c r="O136" s="2">
        <v>30.034839999999999</v>
      </c>
      <c r="P136" s="2">
        <v>127.3532</v>
      </c>
      <c r="Q136" s="2">
        <v>113.0594</v>
      </c>
      <c r="R136" s="2">
        <v>129.80760000000001</v>
      </c>
      <c r="S136" s="2">
        <v>107.3546</v>
      </c>
      <c r="T136" s="2">
        <v>118.6185</v>
      </c>
      <c r="U136" s="2">
        <v>614.05989999999997</v>
      </c>
      <c r="V136" s="6">
        <v>489.8537</v>
      </c>
    </row>
    <row r="137" spans="2:22" x14ac:dyDescent="0.25">
      <c r="B137" s="5">
        <v>24</v>
      </c>
      <c r="C137">
        <v>55575</v>
      </c>
      <c r="D137" s="2">
        <v>57.11497</v>
      </c>
      <c r="E137" s="2">
        <v>268.25889999999998</v>
      </c>
      <c r="F137" s="2">
        <v>264.18720000000002</v>
      </c>
      <c r="G137" s="2">
        <v>287.01389999999998</v>
      </c>
      <c r="H137" s="2">
        <v>251.4478</v>
      </c>
      <c r="I137" s="2">
        <v>264.60930000000002</v>
      </c>
      <c r="J137" s="2">
        <v>613.13490000000002</v>
      </c>
      <c r="K137" s="6">
        <v>488.42200000000003</v>
      </c>
      <c r="M137" s="5">
        <v>24</v>
      </c>
      <c r="N137">
        <v>18521</v>
      </c>
      <c r="O137" s="2">
        <v>29.322150000000001</v>
      </c>
      <c r="P137" s="2">
        <v>159.3168</v>
      </c>
      <c r="Q137" s="2">
        <v>148.59530000000001</v>
      </c>
      <c r="R137" s="2">
        <v>164.83930000000001</v>
      </c>
      <c r="S137" s="2">
        <v>142.04230000000001</v>
      </c>
      <c r="T137" s="2">
        <v>152.5052</v>
      </c>
      <c r="U137" s="2">
        <v>628.84730000000002</v>
      </c>
      <c r="V137" s="6">
        <v>487.8639</v>
      </c>
    </row>
    <row r="138" spans="2:22" x14ac:dyDescent="0.25">
      <c r="B138" s="5">
        <v>36</v>
      </c>
      <c r="C138">
        <v>59692</v>
      </c>
      <c r="D138" s="2">
        <v>30.541229999999999</v>
      </c>
      <c r="E138" s="2">
        <v>284.54930000000002</v>
      </c>
      <c r="F138" s="2">
        <v>267.6234</v>
      </c>
      <c r="G138" s="2">
        <v>300.85210000000001</v>
      </c>
      <c r="H138" s="2">
        <v>259.69600000000003</v>
      </c>
      <c r="I138" s="2">
        <v>274.4359</v>
      </c>
      <c r="J138" s="2">
        <v>616.30949999999996</v>
      </c>
      <c r="K138" s="6">
        <v>487.98250000000002</v>
      </c>
      <c r="M138" s="5">
        <v>36</v>
      </c>
      <c r="N138">
        <v>19092</v>
      </c>
      <c r="O138" s="2">
        <v>57.0929</v>
      </c>
      <c r="P138" s="2">
        <v>170.62450000000001</v>
      </c>
      <c r="Q138" s="2">
        <v>143.21109999999999</v>
      </c>
      <c r="R138" s="2">
        <v>171.40010000000001</v>
      </c>
      <c r="S138" s="2">
        <v>131.244</v>
      </c>
      <c r="T138" s="2">
        <v>154.26689999999999</v>
      </c>
      <c r="U138" s="2">
        <v>629.13549999999998</v>
      </c>
      <c r="V138" s="6">
        <v>487.08780000000002</v>
      </c>
    </row>
    <row r="139" spans="2:22" x14ac:dyDescent="0.25">
      <c r="B139" s="5">
        <v>48</v>
      </c>
      <c r="C139">
        <v>54258</v>
      </c>
      <c r="D139" s="2">
        <v>85.793430000000001</v>
      </c>
      <c r="E139" s="2">
        <v>269.61739999999998</v>
      </c>
      <c r="F139" s="2">
        <v>256.76119999999997</v>
      </c>
      <c r="G139" s="2">
        <v>281.1352</v>
      </c>
      <c r="H139" s="2">
        <v>248.58199999999999</v>
      </c>
      <c r="I139" s="2">
        <v>261.74970000000002</v>
      </c>
      <c r="J139" s="2">
        <v>616.16110000000003</v>
      </c>
      <c r="K139" s="6">
        <v>493.6891</v>
      </c>
      <c r="M139" s="5">
        <v>48</v>
      </c>
      <c r="N139">
        <v>18521</v>
      </c>
      <c r="O139" s="2">
        <v>29.322150000000001</v>
      </c>
      <c r="P139" s="2">
        <v>159.3168</v>
      </c>
      <c r="Q139" s="2">
        <v>148.59530000000001</v>
      </c>
      <c r="R139" s="2">
        <v>164.83930000000001</v>
      </c>
      <c r="S139" s="2">
        <v>142.04230000000001</v>
      </c>
      <c r="T139" s="2">
        <v>152.5052</v>
      </c>
      <c r="U139" s="2">
        <v>628.84730000000002</v>
      </c>
      <c r="V139" s="6">
        <v>487.8639</v>
      </c>
    </row>
    <row r="140" spans="2:22" x14ac:dyDescent="0.25">
      <c r="B140" s="5"/>
      <c r="K140" s="6"/>
      <c r="M140" s="5"/>
      <c r="V140" s="6"/>
    </row>
    <row r="141" spans="2:22" x14ac:dyDescent="0.25">
      <c r="B141" s="14" t="s">
        <v>44</v>
      </c>
      <c r="C141" s="15"/>
      <c r="D141" s="16"/>
      <c r="E141" s="16"/>
      <c r="F141" s="16"/>
      <c r="G141" s="16"/>
      <c r="H141" s="16"/>
      <c r="I141" s="16"/>
      <c r="J141" s="16"/>
      <c r="K141" s="17"/>
      <c r="M141" s="14" t="s">
        <v>45</v>
      </c>
      <c r="N141" s="15"/>
      <c r="O141" s="16"/>
      <c r="P141" s="16"/>
      <c r="Q141" s="16"/>
      <c r="R141" s="16"/>
      <c r="S141" s="16"/>
      <c r="T141" s="16"/>
      <c r="U141" s="16"/>
      <c r="V141" s="17"/>
    </row>
    <row r="142" spans="2:22" s="1" customFormat="1" x14ac:dyDescent="0.25">
      <c r="B142" s="14" t="s">
        <v>0</v>
      </c>
      <c r="C142" s="18" t="s">
        <v>3</v>
      </c>
      <c r="D142" s="19" t="s">
        <v>4</v>
      </c>
      <c r="E142" s="19" t="s">
        <v>5</v>
      </c>
      <c r="F142" s="19" t="s">
        <v>6</v>
      </c>
      <c r="G142" s="19" t="s">
        <v>7</v>
      </c>
      <c r="H142" s="19" t="s">
        <v>8</v>
      </c>
      <c r="I142" s="19" t="s">
        <v>9</v>
      </c>
      <c r="J142" s="19" t="s">
        <v>10</v>
      </c>
      <c r="K142" s="20" t="s">
        <v>11</v>
      </c>
      <c r="M142" s="14" t="s">
        <v>0</v>
      </c>
      <c r="N142" s="18" t="s">
        <v>3</v>
      </c>
      <c r="O142" s="19" t="s">
        <v>4</v>
      </c>
      <c r="P142" s="19" t="s">
        <v>5</v>
      </c>
      <c r="Q142" s="19" t="s">
        <v>6</v>
      </c>
      <c r="R142" s="19" t="s">
        <v>7</v>
      </c>
      <c r="S142" s="19" t="s">
        <v>8</v>
      </c>
      <c r="T142" s="19" t="s">
        <v>9</v>
      </c>
      <c r="U142" s="19" t="s">
        <v>10</v>
      </c>
      <c r="V142" s="20" t="s">
        <v>11</v>
      </c>
    </row>
    <row r="143" spans="2:22" x14ac:dyDescent="0.25">
      <c r="B143" s="14">
        <v>0</v>
      </c>
      <c r="C143" s="15">
        <v>16505</v>
      </c>
      <c r="D143" s="16">
        <v>90.687380000000005</v>
      </c>
      <c r="E143" s="16">
        <v>154.58109999999999</v>
      </c>
      <c r="F143" s="16">
        <v>136.23699999999999</v>
      </c>
      <c r="G143" s="16">
        <v>156.7227</v>
      </c>
      <c r="H143" s="16">
        <v>130</v>
      </c>
      <c r="I143" s="16">
        <v>143.8092</v>
      </c>
      <c r="J143" s="16">
        <v>658.15809999999999</v>
      </c>
      <c r="K143" s="17">
        <v>503.04309999999998</v>
      </c>
      <c r="M143" s="14">
        <v>0</v>
      </c>
      <c r="N143" s="15">
        <v>6031</v>
      </c>
      <c r="O143" s="16">
        <v>85.620350000000002</v>
      </c>
      <c r="P143" s="16">
        <v>98.836010000000002</v>
      </c>
      <c r="Q143" s="16">
        <v>77.991860000000003</v>
      </c>
      <c r="R143" s="16">
        <v>99.141310000000004</v>
      </c>
      <c r="S143" s="16">
        <v>73.979730000000004</v>
      </c>
      <c r="T143" s="16">
        <v>86.171279999999996</v>
      </c>
      <c r="U143" s="16">
        <v>655.14070000000004</v>
      </c>
      <c r="V143" s="17">
        <v>501.25990000000002</v>
      </c>
    </row>
    <row r="144" spans="2:22" x14ac:dyDescent="0.25">
      <c r="B144" s="14">
        <v>12</v>
      </c>
      <c r="C144" s="15">
        <v>28481</v>
      </c>
      <c r="D144" s="16">
        <v>87.050539999999998</v>
      </c>
      <c r="E144" s="16">
        <v>202.39179999999999</v>
      </c>
      <c r="F144" s="16">
        <v>179.78829999999999</v>
      </c>
      <c r="G144" s="16">
        <v>211.7475</v>
      </c>
      <c r="H144" s="16">
        <v>170.75129999999999</v>
      </c>
      <c r="I144" s="16">
        <v>189.11269999999999</v>
      </c>
      <c r="J144" s="16">
        <v>655.64369999999997</v>
      </c>
      <c r="K144" s="17">
        <v>500.75009999999997</v>
      </c>
      <c r="M144" s="14">
        <v>12</v>
      </c>
      <c r="N144" s="15">
        <v>10539</v>
      </c>
      <c r="O144" s="16">
        <v>107.18519999999999</v>
      </c>
      <c r="P144" s="16">
        <v>122.3271</v>
      </c>
      <c r="Q144" s="16">
        <v>110.0626</v>
      </c>
      <c r="R144" s="16">
        <v>123.64870000000001</v>
      </c>
      <c r="S144" s="16">
        <v>106.7052</v>
      </c>
      <c r="T144" s="16">
        <v>114.7266</v>
      </c>
      <c r="U144" s="16">
        <v>648.06330000000003</v>
      </c>
      <c r="V144" s="17">
        <v>504.90109999999999</v>
      </c>
    </row>
    <row r="145" spans="2:22" x14ac:dyDescent="0.25">
      <c r="B145" s="14">
        <v>24</v>
      </c>
      <c r="C145" s="15">
        <v>45604</v>
      </c>
      <c r="D145" s="16">
        <v>95.165940000000006</v>
      </c>
      <c r="E145" s="16">
        <v>249.73599999999999</v>
      </c>
      <c r="F145" s="16">
        <v>233.072</v>
      </c>
      <c r="G145" s="16">
        <v>258.86099999999999</v>
      </c>
      <c r="H145" s="16">
        <v>219.0822</v>
      </c>
      <c r="I145" s="16">
        <v>239.51920000000001</v>
      </c>
      <c r="J145" s="16">
        <v>662.89589999999998</v>
      </c>
      <c r="K145" s="17">
        <v>506.07679999999999</v>
      </c>
      <c r="M145" s="14">
        <v>24</v>
      </c>
      <c r="N145" s="15">
        <v>16601</v>
      </c>
      <c r="O145" s="16">
        <v>81.358050000000006</v>
      </c>
      <c r="P145" s="16">
        <v>155.40989999999999</v>
      </c>
      <c r="Q145" s="16">
        <v>136.18100000000001</v>
      </c>
      <c r="R145" s="16">
        <v>159.2482</v>
      </c>
      <c r="S145" s="16">
        <v>133.73480000000001</v>
      </c>
      <c r="T145" s="16">
        <v>144.3005</v>
      </c>
      <c r="U145" s="16">
        <v>653.35670000000005</v>
      </c>
      <c r="V145" s="17">
        <v>508.50080000000003</v>
      </c>
    </row>
    <row r="146" spans="2:22" x14ac:dyDescent="0.25">
      <c r="B146" s="14">
        <v>36</v>
      </c>
      <c r="C146" s="15">
        <v>47264</v>
      </c>
      <c r="D146" s="16">
        <v>94.913359999999997</v>
      </c>
      <c r="E146" s="16">
        <v>253.62970000000001</v>
      </c>
      <c r="F146" s="16">
        <v>237.9743</v>
      </c>
      <c r="G146" s="16">
        <v>263.8655</v>
      </c>
      <c r="H146" s="16">
        <v>226.559</v>
      </c>
      <c r="I146" s="16">
        <v>244.1148</v>
      </c>
      <c r="J146" s="16">
        <v>661.65329999999994</v>
      </c>
      <c r="K146" s="17">
        <v>503.63479999999998</v>
      </c>
      <c r="M146" s="14">
        <v>36</v>
      </c>
      <c r="N146" s="15">
        <v>19779</v>
      </c>
      <c r="O146" s="16">
        <v>77.389390000000006</v>
      </c>
      <c r="P146" s="16">
        <v>170.50659999999999</v>
      </c>
      <c r="Q146" s="16">
        <v>148.7715</v>
      </c>
      <c r="R146" s="16">
        <v>172.40940000000001</v>
      </c>
      <c r="S146" s="16">
        <v>133.63380000000001</v>
      </c>
      <c r="T146" s="16">
        <v>157.24250000000001</v>
      </c>
      <c r="U146" s="16">
        <v>650.89480000000003</v>
      </c>
      <c r="V146" s="17">
        <v>504.38010000000003</v>
      </c>
    </row>
    <row r="147" spans="2:22" x14ac:dyDescent="0.25">
      <c r="B147" s="14">
        <v>48</v>
      </c>
      <c r="C147" s="15">
        <v>49051</v>
      </c>
      <c r="D147" s="16">
        <v>85.683909999999997</v>
      </c>
      <c r="E147" s="16">
        <v>257.67880000000002</v>
      </c>
      <c r="F147" s="16">
        <v>243.0027</v>
      </c>
      <c r="G147" s="16">
        <v>262.61759999999998</v>
      </c>
      <c r="H147" s="16">
        <v>228.35499999999999</v>
      </c>
      <c r="I147" s="16">
        <v>248.7928</v>
      </c>
      <c r="J147" s="16">
        <v>665.73299999999995</v>
      </c>
      <c r="K147" s="17">
        <v>502.65449999999998</v>
      </c>
      <c r="M147" s="14">
        <v>48</v>
      </c>
      <c r="N147" s="15">
        <v>18404</v>
      </c>
      <c r="O147" s="16">
        <v>103.1874</v>
      </c>
      <c r="P147" s="16">
        <v>167.7552</v>
      </c>
      <c r="Q147" s="16">
        <v>140.67949999999999</v>
      </c>
      <c r="R147" s="16">
        <v>177.07060000000001</v>
      </c>
      <c r="S147" s="16">
        <v>122</v>
      </c>
      <c r="T147" s="16">
        <v>151.54509999999999</v>
      </c>
      <c r="U147" s="16">
        <v>655.33249999999998</v>
      </c>
      <c r="V147" s="17">
        <v>514.97519999999997</v>
      </c>
    </row>
    <row r="148" spans="2:22" x14ac:dyDescent="0.25">
      <c r="B148" s="5"/>
      <c r="C148" s="9"/>
      <c r="K148" s="6"/>
      <c r="M148" s="5"/>
      <c r="V148" s="6"/>
    </row>
    <row r="149" spans="2:22" x14ac:dyDescent="0.25">
      <c r="B149" s="5" t="s">
        <v>46</v>
      </c>
      <c r="K149" s="6"/>
      <c r="M149" s="5" t="s">
        <v>47</v>
      </c>
      <c r="V149" s="6"/>
    </row>
    <row r="150" spans="2:22" s="1" customFormat="1" x14ac:dyDescent="0.25">
      <c r="B150" s="5" t="s">
        <v>0</v>
      </c>
      <c r="C150" s="1" t="s">
        <v>3</v>
      </c>
      <c r="D150" s="7" t="s">
        <v>4</v>
      </c>
      <c r="E150" s="7" t="s">
        <v>5</v>
      </c>
      <c r="F150" s="7" t="s">
        <v>6</v>
      </c>
      <c r="G150" s="7" t="s">
        <v>7</v>
      </c>
      <c r="H150" s="7" t="s">
        <v>8</v>
      </c>
      <c r="I150" s="7" t="s">
        <v>9</v>
      </c>
      <c r="J150" s="7" t="s">
        <v>10</v>
      </c>
      <c r="K150" s="8" t="s">
        <v>11</v>
      </c>
      <c r="M150" s="5" t="s">
        <v>0</v>
      </c>
      <c r="N150" s="1" t="s">
        <v>3</v>
      </c>
      <c r="O150" s="7" t="s">
        <v>4</v>
      </c>
      <c r="P150" s="7" t="s">
        <v>5</v>
      </c>
      <c r="Q150" s="7" t="s">
        <v>6</v>
      </c>
      <c r="R150" s="7" t="s">
        <v>7</v>
      </c>
      <c r="S150" s="7" t="s">
        <v>8</v>
      </c>
      <c r="T150" s="7" t="s">
        <v>9</v>
      </c>
      <c r="U150" s="7" t="s">
        <v>10</v>
      </c>
      <c r="V150" s="8" t="s">
        <v>11</v>
      </c>
    </row>
    <row r="151" spans="2:22" x14ac:dyDescent="0.25">
      <c r="B151" s="5">
        <v>0</v>
      </c>
      <c r="C151">
        <v>24249</v>
      </c>
      <c r="D151" s="2">
        <v>164.0899</v>
      </c>
      <c r="E151" s="2">
        <v>202.08959999999999</v>
      </c>
      <c r="F151" s="2">
        <v>156.14789999999999</v>
      </c>
      <c r="G151" s="2">
        <v>239.0753</v>
      </c>
      <c r="H151" s="2">
        <v>154.62540000000001</v>
      </c>
      <c r="I151" s="2">
        <v>172.95320000000001</v>
      </c>
      <c r="J151" s="2">
        <v>639.35730000000001</v>
      </c>
      <c r="K151" s="6">
        <v>468.66669999999999</v>
      </c>
      <c r="M151" s="5">
        <v>0</v>
      </c>
      <c r="N151">
        <v>9244</v>
      </c>
      <c r="O151" s="2">
        <v>149.8809</v>
      </c>
      <c r="P151" s="2">
        <v>116.93899999999999</v>
      </c>
      <c r="Q151" s="2">
        <v>101.3446</v>
      </c>
      <c r="R151" s="2">
        <v>118.86969999999999</v>
      </c>
      <c r="S151" s="2">
        <v>97.948970000000003</v>
      </c>
      <c r="T151" s="2">
        <v>107.2711</v>
      </c>
      <c r="U151" s="2">
        <v>638.93579999999997</v>
      </c>
      <c r="V151" s="6">
        <v>464.50130000000001</v>
      </c>
    </row>
    <row r="152" spans="2:22" x14ac:dyDescent="0.25">
      <c r="B152" s="5">
        <v>12</v>
      </c>
      <c r="C152">
        <v>38247</v>
      </c>
      <c r="D152" s="2">
        <v>163.73230000000001</v>
      </c>
      <c r="E152" s="2">
        <v>251.9282</v>
      </c>
      <c r="F152" s="2">
        <v>199.1009</v>
      </c>
      <c r="G152" s="2">
        <v>287.90280000000001</v>
      </c>
      <c r="H152" s="2">
        <v>186.06720000000001</v>
      </c>
      <c r="I152" s="2">
        <v>217.56870000000001</v>
      </c>
      <c r="J152" s="2">
        <v>650.27049999999997</v>
      </c>
      <c r="K152" s="6">
        <v>481.6361</v>
      </c>
      <c r="M152" s="5">
        <v>12</v>
      </c>
      <c r="N152">
        <v>10420</v>
      </c>
      <c r="O152" s="2">
        <v>129.01740000000001</v>
      </c>
      <c r="P152" s="2">
        <v>121.6917</v>
      </c>
      <c r="Q152" s="2">
        <v>109.3596</v>
      </c>
      <c r="R152" s="2">
        <v>124.0363</v>
      </c>
      <c r="S152" s="2">
        <v>102.9417</v>
      </c>
      <c r="T152" s="2">
        <v>114.1379</v>
      </c>
      <c r="U152" s="2">
        <v>651.73540000000003</v>
      </c>
      <c r="V152" s="6">
        <v>488.58390000000003</v>
      </c>
    </row>
    <row r="153" spans="2:22" x14ac:dyDescent="0.25">
      <c r="B153" s="5">
        <v>24</v>
      </c>
      <c r="C153">
        <v>56323</v>
      </c>
      <c r="D153" s="2">
        <v>172.21619999999999</v>
      </c>
      <c r="E153" s="2">
        <v>280.72669999999999</v>
      </c>
      <c r="F153" s="2">
        <v>259.2045</v>
      </c>
      <c r="G153" s="2">
        <v>325.3997</v>
      </c>
      <c r="H153" s="2">
        <v>240.20820000000001</v>
      </c>
      <c r="I153" s="2">
        <v>266.07549999999998</v>
      </c>
      <c r="J153" s="2">
        <v>647.61180000000002</v>
      </c>
      <c r="K153" s="6">
        <v>483.113</v>
      </c>
      <c r="M153" s="5">
        <v>24</v>
      </c>
      <c r="N153">
        <v>15630</v>
      </c>
      <c r="O153" s="2">
        <v>147.9444</v>
      </c>
      <c r="P153" s="2">
        <v>154.4443</v>
      </c>
      <c r="Q153" s="2">
        <v>129.2552</v>
      </c>
      <c r="R153" s="2">
        <v>161.30719999999999</v>
      </c>
      <c r="S153" s="2">
        <v>125.41930000000001</v>
      </c>
      <c r="T153" s="2">
        <v>139.744</v>
      </c>
      <c r="U153" s="2">
        <v>637.65719999999999</v>
      </c>
      <c r="V153" s="6">
        <v>504.08300000000003</v>
      </c>
    </row>
    <row r="154" spans="2:22" x14ac:dyDescent="0.25">
      <c r="B154" s="5">
        <v>36</v>
      </c>
      <c r="C154">
        <v>58559</v>
      </c>
      <c r="D154" s="2">
        <v>163.54740000000001</v>
      </c>
      <c r="E154" s="2">
        <v>289.45</v>
      </c>
      <c r="F154" s="2">
        <v>260.85660000000001</v>
      </c>
      <c r="G154" s="2">
        <v>337.3218</v>
      </c>
      <c r="H154" s="2">
        <v>246.00810000000001</v>
      </c>
      <c r="I154" s="2">
        <v>271.22910000000002</v>
      </c>
      <c r="J154" s="2">
        <v>647.34960000000001</v>
      </c>
      <c r="K154" s="6">
        <v>484.63799999999998</v>
      </c>
      <c r="M154" s="5">
        <v>36</v>
      </c>
      <c r="N154">
        <v>17249</v>
      </c>
      <c r="O154" s="2">
        <v>164.59790000000001</v>
      </c>
      <c r="P154" s="2">
        <v>163.9016</v>
      </c>
      <c r="Q154" s="2">
        <v>134.57300000000001</v>
      </c>
      <c r="R154" s="2">
        <v>172.7021</v>
      </c>
      <c r="S154" s="2">
        <v>128.8759</v>
      </c>
      <c r="T154" s="2">
        <v>146.5164</v>
      </c>
      <c r="U154" s="2">
        <v>632.80550000000005</v>
      </c>
      <c r="V154" s="6">
        <v>498.57150000000001</v>
      </c>
    </row>
    <row r="155" spans="2:22" x14ac:dyDescent="0.25">
      <c r="B155" s="5">
        <v>48</v>
      </c>
      <c r="C155">
        <v>55070</v>
      </c>
      <c r="D155" s="2">
        <v>168.6345</v>
      </c>
      <c r="E155" s="2">
        <v>278.613</v>
      </c>
      <c r="F155" s="2">
        <v>256.72120000000001</v>
      </c>
      <c r="G155" s="2">
        <v>322.59570000000002</v>
      </c>
      <c r="H155" s="2">
        <v>232.43279999999999</v>
      </c>
      <c r="I155" s="2">
        <v>262.52609999999999</v>
      </c>
      <c r="J155" s="2">
        <v>645.69100000000003</v>
      </c>
      <c r="K155" s="6">
        <v>485.84629999999999</v>
      </c>
      <c r="M155" s="5">
        <v>48</v>
      </c>
      <c r="N155">
        <v>21677</v>
      </c>
      <c r="O155" s="2">
        <v>146.39830000000001</v>
      </c>
      <c r="P155" s="2">
        <v>175.6336</v>
      </c>
      <c r="Q155" s="2">
        <v>158.23519999999999</v>
      </c>
      <c r="R155" s="2">
        <v>187.9495</v>
      </c>
      <c r="S155" s="2">
        <v>145.34440000000001</v>
      </c>
      <c r="T155" s="2">
        <v>164.5067</v>
      </c>
      <c r="U155" s="2">
        <v>633.55690000000004</v>
      </c>
      <c r="V155" s="6">
        <v>500.76819999999998</v>
      </c>
    </row>
    <row r="156" spans="2:22" x14ac:dyDescent="0.25">
      <c r="B156" s="5"/>
      <c r="K156" s="6"/>
      <c r="M156" s="5"/>
      <c r="V156" s="6"/>
    </row>
    <row r="157" spans="2:22" x14ac:dyDescent="0.25">
      <c r="B157" s="14" t="s">
        <v>48</v>
      </c>
      <c r="C157" s="15"/>
      <c r="D157" s="16"/>
      <c r="E157" s="16"/>
      <c r="F157" s="16"/>
      <c r="G157" s="16"/>
      <c r="H157" s="16"/>
      <c r="I157" s="16"/>
      <c r="J157" s="16"/>
      <c r="K157" s="17"/>
      <c r="M157" s="14" t="s">
        <v>49</v>
      </c>
      <c r="N157" s="15"/>
      <c r="O157" s="16"/>
      <c r="P157" s="16"/>
      <c r="Q157" s="16"/>
      <c r="R157" s="16"/>
      <c r="S157" s="16"/>
      <c r="T157" s="16"/>
      <c r="U157" s="16"/>
      <c r="V157" s="17"/>
    </row>
    <row r="158" spans="2:22" s="1" customFormat="1" x14ac:dyDescent="0.25">
      <c r="B158" s="14" t="s">
        <v>0</v>
      </c>
      <c r="C158" s="18" t="s">
        <v>3</v>
      </c>
      <c r="D158" s="19" t="s">
        <v>4</v>
      </c>
      <c r="E158" s="19" t="s">
        <v>5</v>
      </c>
      <c r="F158" s="19" t="s">
        <v>6</v>
      </c>
      <c r="G158" s="19" t="s">
        <v>7</v>
      </c>
      <c r="H158" s="19" t="s">
        <v>8</v>
      </c>
      <c r="I158" s="19" t="s">
        <v>9</v>
      </c>
      <c r="J158" s="19" t="s">
        <v>10</v>
      </c>
      <c r="K158" s="20" t="s">
        <v>11</v>
      </c>
      <c r="M158" s="14" t="s">
        <v>0</v>
      </c>
      <c r="N158" s="18" t="s">
        <v>3</v>
      </c>
      <c r="O158" s="19" t="s">
        <v>4</v>
      </c>
      <c r="P158" s="19" t="s">
        <v>5</v>
      </c>
      <c r="Q158" s="19" t="s">
        <v>6</v>
      </c>
      <c r="R158" s="19" t="s">
        <v>7</v>
      </c>
      <c r="S158" s="19" t="s">
        <v>8</v>
      </c>
      <c r="T158" s="19" t="s">
        <v>9</v>
      </c>
      <c r="U158" s="19" t="s">
        <v>10</v>
      </c>
      <c r="V158" s="20" t="s">
        <v>11</v>
      </c>
    </row>
    <row r="159" spans="2:22" x14ac:dyDescent="0.25">
      <c r="B159" s="14">
        <v>0</v>
      </c>
      <c r="C159" s="15">
        <v>19805</v>
      </c>
      <c r="D159" s="16">
        <v>168.19370000000001</v>
      </c>
      <c r="E159" s="16">
        <v>165.7602</v>
      </c>
      <c r="F159" s="16">
        <v>152.59139999999999</v>
      </c>
      <c r="G159" s="16">
        <v>170.03819999999999</v>
      </c>
      <c r="H159" s="16">
        <v>145.58160000000001</v>
      </c>
      <c r="I159" s="16">
        <v>157.44290000000001</v>
      </c>
      <c r="J159" s="16">
        <v>647.32759999999996</v>
      </c>
      <c r="K159" s="17">
        <v>481.60919999999999</v>
      </c>
      <c r="M159" s="14">
        <v>0</v>
      </c>
      <c r="N159" s="15">
        <v>8803</v>
      </c>
      <c r="O159" s="16">
        <v>6.9291989999999997</v>
      </c>
      <c r="P159" s="16">
        <v>110.31229999999999</v>
      </c>
      <c r="Q159" s="16">
        <v>102.03019999999999</v>
      </c>
      <c r="R159" s="16">
        <v>112.08920000000001</v>
      </c>
      <c r="S159" s="16">
        <v>94.24436</v>
      </c>
      <c r="T159" s="16">
        <v>104.7171</v>
      </c>
      <c r="U159" s="16">
        <v>644.5385</v>
      </c>
      <c r="V159" s="17">
        <v>477.95060000000001</v>
      </c>
    </row>
    <row r="160" spans="2:22" x14ac:dyDescent="0.25">
      <c r="B160" s="14">
        <v>12</v>
      </c>
      <c r="C160" s="15">
        <v>30669</v>
      </c>
      <c r="D160" s="16">
        <v>34.921059999999997</v>
      </c>
      <c r="E160" s="16">
        <v>209.04310000000001</v>
      </c>
      <c r="F160" s="16">
        <v>187.2277</v>
      </c>
      <c r="G160" s="16">
        <v>215.52029999999999</v>
      </c>
      <c r="H160" s="16">
        <v>179.84719999999999</v>
      </c>
      <c r="I160" s="16">
        <v>196.36009999999999</v>
      </c>
      <c r="J160" s="16">
        <v>636.36749999999995</v>
      </c>
      <c r="K160" s="17">
        <v>471.68209999999999</v>
      </c>
      <c r="M160" s="14">
        <v>12</v>
      </c>
      <c r="N160" s="15">
        <v>10107</v>
      </c>
      <c r="O160" s="16">
        <v>43.898670000000003</v>
      </c>
      <c r="P160" s="16">
        <v>121.8172</v>
      </c>
      <c r="Q160" s="16">
        <v>106.22539999999999</v>
      </c>
      <c r="R160" s="16">
        <v>128.79830000000001</v>
      </c>
      <c r="S160" s="16">
        <v>102.7278</v>
      </c>
      <c r="T160" s="16">
        <v>112.254</v>
      </c>
      <c r="U160" s="16">
        <v>628.53250000000003</v>
      </c>
      <c r="V160" s="17">
        <v>480.0652</v>
      </c>
    </row>
    <row r="161" spans="2:22" x14ac:dyDescent="0.25">
      <c r="B161" s="14">
        <v>24</v>
      </c>
      <c r="C161" s="15">
        <v>53262</v>
      </c>
      <c r="D161" s="16">
        <v>30.079460000000001</v>
      </c>
      <c r="E161" s="16">
        <v>274.97399999999999</v>
      </c>
      <c r="F161" s="16">
        <v>247.45050000000001</v>
      </c>
      <c r="G161" s="16">
        <v>286.2045</v>
      </c>
      <c r="H161" s="16">
        <v>234.5549</v>
      </c>
      <c r="I161" s="16">
        <v>258.8544</v>
      </c>
      <c r="J161" s="16">
        <v>641.89670000000001</v>
      </c>
      <c r="K161" s="17">
        <v>477.37520000000001</v>
      </c>
      <c r="M161" s="14">
        <v>24</v>
      </c>
      <c r="N161" s="15">
        <v>14025</v>
      </c>
      <c r="O161" s="16">
        <v>40.436920000000001</v>
      </c>
      <c r="P161" s="16">
        <v>147.91470000000001</v>
      </c>
      <c r="Q161" s="16">
        <v>121.0018</v>
      </c>
      <c r="R161" s="16">
        <v>149.1643</v>
      </c>
      <c r="S161" s="16">
        <v>117.5925</v>
      </c>
      <c r="T161" s="16">
        <v>132.35470000000001</v>
      </c>
      <c r="U161" s="16">
        <v>622.9796</v>
      </c>
      <c r="V161" s="17">
        <v>493.40550000000002</v>
      </c>
    </row>
    <row r="162" spans="2:22" x14ac:dyDescent="0.25">
      <c r="B162" s="14">
        <v>36</v>
      </c>
      <c r="C162" s="15">
        <v>57249</v>
      </c>
      <c r="D162" s="16">
        <v>30.817779999999999</v>
      </c>
      <c r="E162" s="16">
        <v>289.93779999999998</v>
      </c>
      <c r="F162" s="16">
        <v>252.0959</v>
      </c>
      <c r="G162" s="16">
        <v>297.53149999999999</v>
      </c>
      <c r="H162" s="16">
        <v>238.0273</v>
      </c>
      <c r="I162" s="16">
        <v>268.52210000000002</v>
      </c>
      <c r="J162" s="16">
        <v>640.2577</v>
      </c>
      <c r="K162" s="17">
        <v>479.77760000000001</v>
      </c>
      <c r="M162" s="14">
        <v>36</v>
      </c>
      <c r="N162" s="15">
        <v>16624</v>
      </c>
      <c r="O162" s="16">
        <v>32.298349999999999</v>
      </c>
      <c r="P162" s="16">
        <v>163.39070000000001</v>
      </c>
      <c r="Q162" s="16">
        <v>130.3245</v>
      </c>
      <c r="R162" s="16">
        <v>164.7604</v>
      </c>
      <c r="S162" s="16">
        <v>123.6932</v>
      </c>
      <c r="T162" s="16">
        <v>143.64940000000001</v>
      </c>
      <c r="U162" s="16">
        <v>613.55179999999996</v>
      </c>
      <c r="V162" s="17">
        <v>486.45479999999998</v>
      </c>
    </row>
    <row r="163" spans="2:22" x14ac:dyDescent="0.25">
      <c r="B163" s="14">
        <v>48</v>
      </c>
      <c r="C163" s="15">
        <v>57374</v>
      </c>
      <c r="D163" s="16">
        <v>30.254539999999999</v>
      </c>
      <c r="E163" s="16">
        <v>283.52850000000001</v>
      </c>
      <c r="F163" s="16">
        <v>258.02569999999997</v>
      </c>
      <c r="G163" s="16">
        <v>292.04969999999997</v>
      </c>
      <c r="H163" s="16">
        <v>247.12950000000001</v>
      </c>
      <c r="I163" s="16">
        <v>269.05090000000001</v>
      </c>
      <c r="J163" s="16">
        <v>643.73389999999995</v>
      </c>
      <c r="K163" s="17">
        <v>476.30849999999998</v>
      </c>
      <c r="M163" s="14">
        <v>48</v>
      </c>
      <c r="N163" s="15">
        <v>18986</v>
      </c>
      <c r="O163" s="16">
        <v>20.113499999999998</v>
      </c>
      <c r="P163" s="16">
        <v>167.2021</v>
      </c>
      <c r="Q163" s="16">
        <v>144.90180000000001</v>
      </c>
      <c r="R163" s="16">
        <v>167.60069999999999</v>
      </c>
      <c r="S163" s="16">
        <v>135.7645</v>
      </c>
      <c r="T163" s="16">
        <v>154.0377</v>
      </c>
      <c r="U163" s="16">
        <v>619.86180000000002</v>
      </c>
      <c r="V163" s="17">
        <v>495.51429999999999</v>
      </c>
    </row>
    <row r="164" spans="2:22" x14ac:dyDescent="0.25">
      <c r="B164" s="5"/>
      <c r="K164" s="6"/>
      <c r="M164" s="5"/>
      <c r="V164" s="6"/>
    </row>
    <row r="165" spans="2:22" x14ac:dyDescent="0.25">
      <c r="B165" s="5" t="s">
        <v>50</v>
      </c>
      <c r="K165" s="6"/>
      <c r="M165" s="5" t="s">
        <v>51</v>
      </c>
      <c r="V165" s="6"/>
    </row>
    <row r="166" spans="2:22" s="1" customFormat="1" x14ac:dyDescent="0.25">
      <c r="B166" s="5" t="s">
        <v>0</v>
      </c>
      <c r="C166" s="1" t="s">
        <v>3</v>
      </c>
      <c r="D166" s="7" t="s">
        <v>4</v>
      </c>
      <c r="E166" s="7" t="s">
        <v>5</v>
      </c>
      <c r="F166" s="7" t="s">
        <v>6</v>
      </c>
      <c r="G166" s="7" t="s">
        <v>7</v>
      </c>
      <c r="H166" s="7" t="s">
        <v>8</v>
      </c>
      <c r="I166" s="7" t="s">
        <v>9</v>
      </c>
      <c r="J166" s="7" t="s">
        <v>10</v>
      </c>
      <c r="K166" s="8" t="s">
        <v>11</v>
      </c>
      <c r="M166" s="5" t="s">
        <v>0</v>
      </c>
      <c r="N166" s="1" t="s">
        <v>3</v>
      </c>
      <c r="O166" s="7" t="s">
        <v>4</v>
      </c>
      <c r="P166" s="7" t="s">
        <v>5</v>
      </c>
      <c r="Q166" s="7" t="s">
        <v>6</v>
      </c>
      <c r="R166" s="7" t="s">
        <v>7</v>
      </c>
      <c r="S166" s="7" t="s">
        <v>8</v>
      </c>
      <c r="T166" s="7" t="s">
        <v>9</v>
      </c>
      <c r="U166" s="7" t="s">
        <v>10</v>
      </c>
      <c r="V166" s="8" t="s">
        <v>11</v>
      </c>
    </row>
    <row r="167" spans="2:22" x14ac:dyDescent="0.25">
      <c r="B167" s="5">
        <v>0</v>
      </c>
      <c r="C167">
        <v>24677</v>
      </c>
      <c r="D167" s="2">
        <v>62.977719999999998</v>
      </c>
      <c r="E167" s="2">
        <v>182.86789999999999</v>
      </c>
      <c r="F167" s="2">
        <v>172.09979999999999</v>
      </c>
      <c r="G167" s="2">
        <v>184.7647</v>
      </c>
      <c r="H167" s="2">
        <v>165.1302</v>
      </c>
      <c r="I167" s="2">
        <v>176.26949999999999</v>
      </c>
      <c r="J167" s="2">
        <v>651.08450000000005</v>
      </c>
      <c r="K167" s="6">
        <v>411.84120000000001</v>
      </c>
      <c r="M167" s="5">
        <v>0</v>
      </c>
      <c r="N167">
        <v>9866</v>
      </c>
      <c r="O167" s="2">
        <v>96.15598</v>
      </c>
      <c r="P167" s="2">
        <v>116.56229999999999</v>
      </c>
      <c r="Q167" s="2">
        <v>108.25320000000001</v>
      </c>
      <c r="R167" s="2">
        <v>123.1016</v>
      </c>
      <c r="S167" s="2">
        <v>100.4042</v>
      </c>
      <c r="T167" s="2">
        <v>110.76909999999999</v>
      </c>
      <c r="U167" s="2">
        <v>646.94529999999997</v>
      </c>
      <c r="V167" s="6">
        <v>414.19110000000001</v>
      </c>
    </row>
    <row r="168" spans="2:22" x14ac:dyDescent="0.25">
      <c r="B168" s="5">
        <v>12</v>
      </c>
      <c r="C168">
        <v>35350</v>
      </c>
      <c r="D168" s="2">
        <v>99.971530000000001</v>
      </c>
      <c r="E168" s="2">
        <v>215.2989</v>
      </c>
      <c r="F168" s="2">
        <v>209.5179</v>
      </c>
      <c r="G168" s="2">
        <v>224.96440000000001</v>
      </c>
      <c r="H168" s="2">
        <v>201.55889999999999</v>
      </c>
      <c r="I168" s="2">
        <v>210.99510000000001</v>
      </c>
      <c r="J168" s="2">
        <v>660.93589999999995</v>
      </c>
      <c r="K168" s="6">
        <v>382.38729999999998</v>
      </c>
      <c r="M168" s="5">
        <v>12</v>
      </c>
      <c r="N168">
        <v>15397</v>
      </c>
      <c r="O168" s="2">
        <v>112.104</v>
      </c>
      <c r="P168" s="2">
        <v>146.71459999999999</v>
      </c>
      <c r="Q168" s="2">
        <v>134.17859999999999</v>
      </c>
      <c r="R168" s="2">
        <v>153.94149999999999</v>
      </c>
      <c r="S168" s="2">
        <v>122.5887</v>
      </c>
      <c r="T168" s="2">
        <v>138.70060000000001</v>
      </c>
      <c r="U168" s="2">
        <v>653.3116</v>
      </c>
      <c r="V168" s="6">
        <v>393.25909999999999</v>
      </c>
    </row>
    <row r="169" spans="2:22" x14ac:dyDescent="0.25">
      <c r="B169" s="5">
        <v>24</v>
      </c>
      <c r="C169">
        <v>66423</v>
      </c>
      <c r="D169" s="2">
        <v>83.56474</v>
      </c>
      <c r="E169" s="2">
        <v>292.97149999999999</v>
      </c>
      <c r="F169" s="2">
        <v>289.0874</v>
      </c>
      <c r="G169" s="2">
        <v>304.17099999999999</v>
      </c>
      <c r="H169" s="2">
        <v>278.06470000000002</v>
      </c>
      <c r="I169" s="2">
        <v>289.4846</v>
      </c>
      <c r="J169" s="2">
        <v>666.90589999999997</v>
      </c>
      <c r="K169" s="6">
        <v>392.00470000000001</v>
      </c>
      <c r="M169" s="5">
        <v>24</v>
      </c>
      <c r="N169">
        <v>17626</v>
      </c>
      <c r="O169" s="2">
        <v>140.23939999999999</v>
      </c>
      <c r="P169" s="2">
        <v>157.31299999999999</v>
      </c>
      <c r="Q169" s="2">
        <v>143.37809999999999</v>
      </c>
      <c r="R169" s="2">
        <v>160.62690000000001</v>
      </c>
      <c r="S169" s="2">
        <v>138.1593</v>
      </c>
      <c r="T169" s="2">
        <v>148.49719999999999</v>
      </c>
      <c r="U169" s="2">
        <v>654.40989999999999</v>
      </c>
      <c r="V169" s="6">
        <v>418.76220000000001</v>
      </c>
    </row>
    <row r="170" spans="2:22" x14ac:dyDescent="0.25">
      <c r="B170" s="5">
        <v>36</v>
      </c>
      <c r="C170">
        <v>65095</v>
      </c>
      <c r="D170" s="2">
        <v>108.8738</v>
      </c>
      <c r="E170" s="2">
        <v>293.6832</v>
      </c>
      <c r="F170" s="2">
        <v>282.76530000000002</v>
      </c>
      <c r="G170" s="2">
        <v>307.0016</v>
      </c>
      <c r="H170" s="2">
        <v>273.54160000000002</v>
      </c>
      <c r="I170" s="2">
        <v>286.52749999999997</v>
      </c>
      <c r="J170" s="2">
        <v>662.0453</v>
      </c>
      <c r="K170" s="6">
        <v>390.02109999999999</v>
      </c>
      <c r="M170" s="5">
        <v>36</v>
      </c>
      <c r="N170">
        <v>17403</v>
      </c>
      <c r="O170" s="2">
        <v>148.99700000000001</v>
      </c>
      <c r="P170" s="2">
        <v>162.6995</v>
      </c>
      <c r="Q170" s="2">
        <v>137.36429999999999</v>
      </c>
      <c r="R170" s="2">
        <v>167.58580000000001</v>
      </c>
      <c r="S170" s="2">
        <v>122.5887</v>
      </c>
      <c r="T170" s="2">
        <v>147.32660000000001</v>
      </c>
      <c r="U170" s="2">
        <v>643.60580000000004</v>
      </c>
      <c r="V170" s="6">
        <v>414.14120000000003</v>
      </c>
    </row>
    <row r="171" spans="2:22" x14ac:dyDescent="0.25">
      <c r="B171" s="5">
        <v>48</v>
      </c>
      <c r="C171">
        <v>65842</v>
      </c>
      <c r="D171" s="2">
        <v>119.2606</v>
      </c>
      <c r="E171" s="2">
        <v>295.98739999999998</v>
      </c>
      <c r="F171" s="2">
        <v>283.59500000000003</v>
      </c>
      <c r="G171" s="2">
        <v>304.02140000000003</v>
      </c>
      <c r="H171" s="2">
        <v>276.00720000000001</v>
      </c>
      <c r="I171" s="2">
        <v>288.30950000000001</v>
      </c>
      <c r="J171" s="2">
        <v>660.15269999999998</v>
      </c>
      <c r="K171" s="6">
        <v>396.4973</v>
      </c>
      <c r="M171" s="5">
        <v>48</v>
      </c>
      <c r="N171">
        <v>21327</v>
      </c>
      <c r="O171" s="2">
        <v>133.99639999999999</v>
      </c>
      <c r="P171" s="2">
        <v>181.0171</v>
      </c>
      <c r="Q171" s="2">
        <v>150.81139999999999</v>
      </c>
      <c r="R171" s="2">
        <v>188.7988</v>
      </c>
      <c r="S171" s="2">
        <v>145.9897</v>
      </c>
      <c r="T171" s="2">
        <v>163.2824</v>
      </c>
      <c r="U171" s="2">
        <v>642.11519999999996</v>
      </c>
      <c r="V171" s="6">
        <v>422.55500000000001</v>
      </c>
    </row>
    <row r="172" spans="2:22" x14ac:dyDescent="0.25">
      <c r="B172" s="5"/>
      <c r="K172" s="6"/>
      <c r="M172" s="5"/>
      <c r="V172" s="6"/>
    </row>
    <row r="173" spans="2:22" x14ac:dyDescent="0.25">
      <c r="B173" s="5" t="s">
        <v>52</v>
      </c>
      <c r="C173" s="10">
        <v>42633</v>
      </c>
      <c r="K173" s="6"/>
      <c r="M173" s="5"/>
      <c r="V173" s="6"/>
    </row>
    <row r="174" spans="2:22" x14ac:dyDescent="0.25">
      <c r="B174" s="5"/>
      <c r="K174" s="6"/>
      <c r="M174" s="5"/>
      <c r="V174" s="6"/>
    </row>
    <row r="175" spans="2:22" x14ac:dyDescent="0.25">
      <c r="B175" s="14" t="s">
        <v>28</v>
      </c>
      <c r="C175" s="15"/>
      <c r="D175" s="16"/>
      <c r="E175" s="16"/>
      <c r="F175" s="16"/>
      <c r="G175" s="16"/>
      <c r="H175" s="16"/>
      <c r="I175" s="16"/>
      <c r="J175" s="16"/>
      <c r="K175" s="17"/>
      <c r="M175" s="5" t="s">
        <v>29</v>
      </c>
      <c r="V175" s="6"/>
    </row>
    <row r="176" spans="2:22" s="1" customFormat="1" x14ac:dyDescent="0.25">
      <c r="B176" s="14" t="s">
        <v>0</v>
      </c>
      <c r="C176" s="18" t="s">
        <v>3</v>
      </c>
      <c r="D176" s="19" t="s">
        <v>4</v>
      </c>
      <c r="E176" s="19" t="s">
        <v>5</v>
      </c>
      <c r="F176" s="19" t="s">
        <v>6</v>
      </c>
      <c r="G176" s="19" t="s">
        <v>7</v>
      </c>
      <c r="H176" s="19" t="s">
        <v>8</v>
      </c>
      <c r="I176" s="19" t="s">
        <v>9</v>
      </c>
      <c r="J176" s="19" t="s">
        <v>10</v>
      </c>
      <c r="K176" s="20" t="s">
        <v>11</v>
      </c>
      <c r="M176" s="5" t="s">
        <v>0</v>
      </c>
      <c r="N176" s="1" t="s">
        <v>3</v>
      </c>
      <c r="O176" s="7" t="s">
        <v>4</v>
      </c>
      <c r="P176" s="7" t="s">
        <v>5</v>
      </c>
      <c r="Q176" s="7" t="s">
        <v>6</v>
      </c>
      <c r="R176" s="7" t="s">
        <v>7</v>
      </c>
      <c r="S176" s="7" t="s">
        <v>8</v>
      </c>
      <c r="T176" s="7" t="s">
        <v>9</v>
      </c>
      <c r="U176" s="7" t="s">
        <v>10</v>
      </c>
      <c r="V176" s="8" t="s">
        <v>11</v>
      </c>
    </row>
    <row r="177" spans="2:22" x14ac:dyDescent="0.25">
      <c r="B177" s="14">
        <v>0</v>
      </c>
      <c r="C177" s="15">
        <v>18365</v>
      </c>
      <c r="D177" s="16">
        <v>70.222589999999997</v>
      </c>
      <c r="E177" s="16">
        <v>244.7475</v>
      </c>
      <c r="F177" s="16">
        <v>97.863489999999999</v>
      </c>
      <c r="G177" s="16">
        <v>274.27359999999999</v>
      </c>
      <c r="H177" s="16">
        <v>98.412400000000005</v>
      </c>
      <c r="I177" s="16">
        <v>144.70259999999999</v>
      </c>
      <c r="J177" s="16">
        <v>666.65340000000003</v>
      </c>
      <c r="K177" s="17">
        <v>593.89639999999997</v>
      </c>
      <c r="M177" s="5">
        <v>0</v>
      </c>
      <c r="N177">
        <v>5796</v>
      </c>
      <c r="O177" s="2">
        <v>73.671189999999996</v>
      </c>
      <c r="P177" s="2">
        <v>114.3145</v>
      </c>
      <c r="Q177" s="2">
        <v>65.83981</v>
      </c>
      <c r="R177" s="2">
        <v>119.10080000000001</v>
      </c>
      <c r="S177" s="2">
        <v>62.169119999999999</v>
      </c>
      <c r="T177" s="2">
        <v>82.80283</v>
      </c>
      <c r="U177" s="2">
        <v>683.00409999999999</v>
      </c>
      <c r="V177" s="6">
        <v>587.07460000000003</v>
      </c>
    </row>
    <row r="178" spans="2:22" x14ac:dyDescent="0.25">
      <c r="B178" s="14">
        <v>12</v>
      </c>
      <c r="C178" s="15">
        <v>35800</v>
      </c>
      <c r="D178" s="16">
        <v>81.491630000000001</v>
      </c>
      <c r="E178" s="16">
        <v>364.61110000000002</v>
      </c>
      <c r="F178" s="16">
        <v>129.58199999999999</v>
      </c>
      <c r="G178" s="16">
        <v>389.30959999999999</v>
      </c>
      <c r="H178" s="16">
        <v>119.5492</v>
      </c>
      <c r="I178" s="16">
        <v>195.74080000000001</v>
      </c>
      <c r="J178" s="16">
        <v>634.36559999999997</v>
      </c>
      <c r="K178" s="17">
        <v>595.15970000000004</v>
      </c>
      <c r="M178" s="5">
        <v>12</v>
      </c>
      <c r="N178">
        <v>7526</v>
      </c>
      <c r="O178" s="2">
        <v>73.272729999999996</v>
      </c>
      <c r="P178" s="2">
        <v>130.51519999999999</v>
      </c>
      <c r="Q178" s="2">
        <v>74.195430000000002</v>
      </c>
      <c r="R178" s="2">
        <v>132.9812</v>
      </c>
      <c r="S178" s="2">
        <v>69.260379999999998</v>
      </c>
      <c r="T178" s="2">
        <v>94.635869999999997</v>
      </c>
      <c r="U178" s="2">
        <v>676.60630000000003</v>
      </c>
      <c r="V178" s="6">
        <v>595.26679999999999</v>
      </c>
    </row>
    <row r="179" spans="2:22" x14ac:dyDescent="0.25">
      <c r="B179" s="14">
        <v>24</v>
      </c>
      <c r="C179" s="15">
        <v>47706</v>
      </c>
      <c r="D179" s="16">
        <v>84.598730000000003</v>
      </c>
      <c r="E179" s="16">
        <v>388.80349999999999</v>
      </c>
      <c r="F179" s="16">
        <v>160.17320000000001</v>
      </c>
      <c r="G179" s="16">
        <v>419.10019999999997</v>
      </c>
      <c r="H179" s="16">
        <v>152.06909999999999</v>
      </c>
      <c r="I179" s="16">
        <v>231.0411</v>
      </c>
      <c r="J179" s="16">
        <v>624.47320000000002</v>
      </c>
      <c r="K179" s="17">
        <v>603.60260000000005</v>
      </c>
      <c r="M179" s="5">
        <v>24</v>
      </c>
      <c r="N179">
        <v>13789</v>
      </c>
      <c r="O179" s="2">
        <v>73.819339999999997</v>
      </c>
      <c r="P179" s="2">
        <v>148.23230000000001</v>
      </c>
      <c r="Q179" s="2">
        <v>119.8874</v>
      </c>
      <c r="R179" s="2">
        <v>154.15899999999999</v>
      </c>
      <c r="S179" s="2">
        <v>108.2405</v>
      </c>
      <c r="T179" s="2">
        <v>130.65129999999999</v>
      </c>
      <c r="U179" s="2">
        <v>667.91909999999996</v>
      </c>
      <c r="V179" s="6">
        <v>604.71050000000002</v>
      </c>
    </row>
    <row r="180" spans="2:22" x14ac:dyDescent="0.25">
      <c r="B180" s="14">
        <v>36</v>
      </c>
      <c r="C180" s="15">
        <v>47216</v>
      </c>
      <c r="D180" s="16">
        <v>84.347380000000001</v>
      </c>
      <c r="E180" s="16">
        <v>381.803</v>
      </c>
      <c r="F180" s="16">
        <v>160.8006</v>
      </c>
      <c r="G180" s="16">
        <v>402.08710000000002</v>
      </c>
      <c r="H180" s="16">
        <v>153.38839999999999</v>
      </c>
      <c r="I180" s="16">
        <v>230.8775</v>
      </c>
      <c r="J180" s="16">
        <v>628.78700000000003</v>
      </c>
      <c r="K180" s="17">
        <v>602.87099999999998</v>
      </c>
      <c r="M180" s="5">
        <v>36</v>
      </c>
      <c r="N180">
        <v>12609</v>
      </c>
      <c r="O180" s="2">
        <v>88.340260000000001</v>
      </c>
      <c r="P180" s="2">
        <v>141.54140000000001</v>
      </c>
      <c r="Q180" s="2">
        <v>114.7599</v>
      </c>
      <c r="R180" s="2">
        <v>150.8509</v>
      </c>
      <c r="S180" s="2">
        <v>105.9481</v>
      </c>
      <c r="T180" s="2">
        <v>124.91889999999999</v>
      </c>
      <c r="U180" s="2">
        <v>669.39580000000001</v>
      </c>
      <c r="V180" s="6">
        <v>599.54690000000005</v>
      </c>
    </row>
    <row r="181" spans="2:22" x14ac:dyDescent="0.25">
      <c r="B181" s="14">
        <v>48</v>
      </c>
      <c r="C181" s="15">
        <v>45118</v>
      </c>
      <c r="D181" s="16">
        <v>84.254069999999999</v>
      </c>
      <c r="E181" s="16">
        <v>371.69799999999998</v>
      </c>
      <c r="F181" s="16">
        <v>157.81219999999999</v>
      </c>
      <c r="G181" s="16">
        <v>392.31880000000001</v>
      </c>
      <c r="H181" s="16">
        <v>150.57220000000001</v>
      </c>
      <c r="I181" s="16">
        <v>226.3271</v>
      </c>
      <c r="J181" s="16">
        <v>623.51760000000002</v>
      </c>
      <c r="K181" s="17">
        <v>603.61710000000005</v>
      </c>
      <c r="M181" s="5">
        <v>48</v>
      </c>
      <c r="N181">
        <v>13798</v>
      </c>
      <c r="O181" s="2">
        <v>82.285070000000005</v>
      </c>
      <c r="P181" s="2">
        <v>154.8082</v>
      </c>
      <c r="Q181" s="2">
        <v>115.06740000000001</v>
      </c>
      <c r="R181" s="2">
        <v>155.12899999999999</v>
      </c>
      <c r="S181" s="2">
        <v>105.6504</v>
      </c>
      <c r="T181" s="2">
        <v>130.25550000000001</v>
      </c>
      <c r="U181" s="2">
        <v>671.58609999999999</v>
      </c>
      <c r="V181" s="6">
        <v>597.33330000000001</v>
      </c>
    </row>
    <row r="182" spans="2:22" x14ac:dyDescent="0.25">
      <c r="B182" s="5"/>
      <c r="K182" s="6"/>
      <c r="M182" s="5"/>
      <c r="V182" s="6"/>
    </row>
    <row r="183" spans="2:22" x14ac:dyDescent="0.25">
      <c r="B183" s="5" t="s">
        <v>32</v>
      </c>
      <c r="K183" s="6"/>
      <c r="M183" s="5" t="s">
        <v>33</v>
      </c>
      <c r="V183" s="6"/>
    </row>
    <row r="184" spans="2:22" s="1" customFormat="1" x14ac:dyDescent="0.25">
      <c r="B184" s="5" t="s">
        <v>0</v>
      </c>
      <c r="C184" s="1" t="s">
        <v>3</v>
      </c>
      <c r="D184" s="7" t="s">
        <v>4</v>
      </c>
      <c r="E184" s="7" t="s">
        <v>5</v>
      </c>
      <c r="F184" s="7" t="s">
        <v>6</v>
      </c>
      <c r="G184" s="7" t="s">
        <v>7</v>
      </c>
      <c r="H184" s="7" t="s">
        <v>8</v>
      </c>
      <c r="I184" s="7" t="s">
        <v>9</v>
      </c>
      <c r="J184" s="7" t="s">
        <v>10</v>
      </c>
      <c r="K184" s="8" t="s">
        <v>11</v>
      </c>
      <c r="M184" s="5" t="s">
        <v>0</v>
      </c>
      <c r="N184" s="1" t="s">
        <v>3</v>
      </c>
      <c r="O184" s="7" t="s">
        <v>4</v>
      </c>
      <c r="P184" s="7" t="s">
        <v>5</v>
      </c>
      <c r="Q184" s="7" t="s">
        <v>6</v>
      </c>
      <c r="R184" s="7" t="s">
        <v>7</v>
      </c>
      <c r="S184" s="7" t="s">
        <v>8</v>
      </c>
      <c r="T184" s="7" t="s">
        <v>9</v>
      </c>
      <c r="U184" s="7" t="s">
        <v>10</v>
      </c>
      <c r="V184" s="8" t="s">
        <v>11</v>
      </c>
    </row>
    <row r="185" spans="2:22" x14ac:dyDescent="0.25">
      <c r="B185" s="5">
        <v>0</v>
      </c>
      <c r="C185">
        <v>8441</v>
      </c>
      <c r="D185" s="2">
        <v>137.3236</v>
      </c>
      <c r="E185" s="2">
        <v>113.96769999999999</v>
      </c>
      <c r="F185" s="2">
        <v>94.748890000000003</v>
      </c>
      <c r="G185" s="2">
        <v>115.8836</v>
      </c>
      <c r="H185" s="2">
        <v>86.977010000000007</v>
      </c>
      <c r="I185" s="2">
        <v>102.35769999999999</v>
      </c>
      <c r="J185" s="2">
        <v>691.12260000000003</v>
      </c>
      <c r="K185" s="6">
        <v>498.73329999999999</v>
      </c>
      <c r="M185" s="5">
        <v>0</v>
      </c>
      <c r="N185">
        <v>2480</v>
      </c>
      <c r="O185" s="2">
        <v>156.5085</v>
      </c>
      <c r="P185" s="2">
        <v>73.148799999999994</v>
      </c>
      <c r="Q185" s="2">
        <v>44.284880000000001</v>
      </c>
      <c r="R185" s="2">
        <v>70.710679999999996</v>
      </c>
      <c r="S185" s="2">
        <v>36.235340000000001</v>
      </c>
      <c r="T185" s="2">
        <v>55.248759999999997</v>
      </c>
      <c r="U185" s="2">
        <v>690.01549999999997</v>
      </c>
      <c r="V185" s="6">
        <v>499.62700000000001</v>
      </c>
    </row>
    <row r="186" spans="2:22" x14ac:dyDescent="0.25">
      <c r="B186" s="5">
        <v>12</v>
      </c>
      <c r="C186">
        <v>12370</v>
      </c>
      <c r="D186" s="2">
        <v>165.8064</v>
      </c>
      <c r="E186" s="2">
        <v>134.38810000000001</v>
      </c>
      <c r="F186" s="2">
        <v>117.45010000000001</v>
      </c>
      <c r="G186" s="2">
        <v>136.9708</v>
      </c>
      <c r="H186" s="2">
        <v>109.32980000000001</v>
      </c>
      <c r="I186" s="2">
        <v>124.2539</v>
      </c>
      <c r="J186" s="2">
        <v>690.75120000000004</v>
      </c>
      <c r="K186" s="6">
        <v>503.80500000000001</v>
      </c>
      <c r="M186" s="5">
        <v>12</v>
      </c>
      <c r="N186">
        <v>3929</v>
      </c>
      <c r="O186" s="2">
        <v>175.3039</v>
      </c>
      <c r="P186" s="2">
        <v>74.356899999999996</v>
      </c>
      <c r="Q186" s="2">
        <v>67.823539999999994</v>
      </c>
      <c r="R186" s="2">
        <v>75.709980000000002</v>
      </c>
      <c r="S186" s="2">
        <v>63.953110000000002</v>
      </c>
      <c r="T186" s="2">
        <v>69.378330000000005</v>
      </c>
      <c r="U186" s="2">
        <v>694.42499999999995</v>
      </c>
      <c r="V186" s="6">
        <v>511.93560000000002</v>
      </c>
    </row>
    <row r="187" spans="2:22" x14ac:dyDescent="0.25">
      <c r="B187" s="5">
        <v>24</v>
      </c>
      <c r="C187">
        <v>16272</v>
      </c>
      <c r="D187" s="2">
        <v>172.2764</v>
      </c>
      <c r="E187" s="2">
        <v>156.58369999999999</v>
      </c>
      <c r="F187" s="2">
        <v>132.54849999999999</v>
      </c>
      <c r="G187" s="2">
        <v>165.97890000000001</v>
      </c>
      <c r="H187" s="2">
        <v>128.4718</v>
      </c>
      <c r="I187" s="2">
        <v>142.77440000000001</v>
      </c>
      <c r="J187" s="2">
        <v>688.68960000000004</v>
      </c>
      <c r="K187" s="6">
        <v>508.21510000000001</v>
      </c>
      <c r="M187" s="5">
        <v>24</v>
      </c>
      <c r="N187">
        <v>4384</v>
      </c>
      <c r="O187" s="2">
        <v>164.83930000000001</v>
      </c>
      <c r="P187" s="2">
        <v>77.959040000000002</v>
      </c>
      <c r="Q187" s="2">
        <v>73.019729999999996</v>
      </c>
      <c r="R187" s="2">
        <v>84.646320000000003</v>
      </c>
      <c r="S187" s="2">
        <v>62.433959999999999</v>
      </c>
      <c r="T187" s="2">
        <v>73.278360000000006</v>
      </c>
      <c r="U187" s="2">
        <v>687.29380000000003</v>
      </c>
      <c r="V187" s="6">
        <v>511.72160000000002</v>
      </c>
    </row>
    <row r="188" spans="2:22" x14ac:dyDescent="0.25">
      <c r="B188" s="5">
        <v>36</v>
      </c>
      <c r="C188">
        <v>17125</v>
      </c>
      <c r="D188" s="2">
        <v>169.14769999999999</v>
      </c>
      <c r="E188" s="2">
        <v>160.80779999999999</v>
      </c>
      <c r="F188" s="2">
        <v>135.85730000000001</v>
      </c>
      <c r="G188" s="2">
        <v>164.46879999999999</v>
      </c>
      <c r="H188" s="2">
        <v>130.92359999999999</v>
      </c>
      <c r="I188" s="2">
        <v>146.27330000000001</v>
      </c>
      <c r="J188" s="2">
        <v>683.10910000000001</v>
      </c>
      <c r="K188" s="6">
        <v>507.40839999999997</v>
      </c>
      <c r="M188" s="5">
        <v>36</v>
      </c>
      <c r="N188">
        <v>5051</v>
      </c>
      <c r="O188" s="2">
        <v>11.273999999999999</v>
      </c>
      <c r="P188" s="2">
        <v>92.781970000000001</v>
      </c>
      <c r="Q188" s="2">
        <v>70.643960000000007</v>
      </c>
      <c r="R188" s="2">
        <v>97.308779999999999</v>
      </c>
      <c r="S188" s="2">
        <v>61.098280000000003</v>
      </c>
      <c r="T188" s="2">
        <v>78.359340000000003</v>
      </c>
      <c r="U188" s="2">
        <v>687.38810000000001</v>
      </c>
      <c r="V188" s="6">
        <v>508.06150000000002</v>
      </c>
    </row>
    <row r="189" spans="2:22" x14ac:dyDescent="0.25">
      <c r="B189" s="5">
        <v>48</v>
      </c>
      <c r="C189">
        <v>16653</v>
      </c>
      <c r="D189" s="2">
        <v>166.2818</v>
      </c>
      <c r="E189" s="2">
        <v>157.6859</v>
      </c>
      <c r="F189" s="2">
        <v>134.79570000000001</v>
      </c>
      <c r="G189" s="2">
        <v>161.5333</v>
      </c>
      <c r="H189" s="2">
        <v>128.08199999999999</v>
      </c>
      <c r="I189" s="2">
        <v>144.22819999999999</v>
      </c>
      <c r="J189" s="2">
        <v>684.90419999999995</v>
      </c>
      <c r="K189" s="6">
        <v>505.35579999999999</v>
      </c>
      <c r="M189" s="5">
        <v>48</v>
      </c>
      <c r="N189">
        <v>5431</v>
      </c>
      <c r="O189" s="2">
        <v>12.490930000000001</v>
      </c>
      <c r="P189" s="2">
        <v>86.775840000000002</v>
      </c>
      <c r="Q189" s="2">
        <v>80.641679999999994</v>
      </c>
      <c r="R189" s="2">
        <v>87.846459999999993</v>
      </c>
      <c r="S189" s="2">
        <v>64.070269999999994</v>
      </c>
      <c r="T189" s="2">
        <v>81.871120000000005</v>
      </c>
      <c r="U189" s="2">
        <v>690.63639999999998</v>
      </c>
      <c r="V189" s="6">
        <v>507.56880000000001</v>
      </c>
    </row>
    <row r="190" spans="2:22" x14ac:dyDescent="0.25">
      <c r="B190" s="5"/>
      <c r="K190" s="6"/>
      <c r="M190" s="5"/>
      <c r="V190" s="6"/>
    </row>
    <row r="191" spans="2:22" x14ac:dyDescent="0.25">
      <c r="B191" s="14" t="s">
        <v>34</v>
      </c>
      <c r="C191" s="15"/>
      <c r="D191" s="16"/>
      <c r="E191" s="16"/>
      <c r="F191" s="16"/>
      <c r="G191" s="16"/>
      <c r="H191" s="16"/>
      <c r="I191" s="16"/>
      <c r="J191" s="16"/>
      <c r="K191" s="17"/>
      <c r="M191" s="14" t="s">
        <v>35</v>
      </c>
      <c r="N191" s="15"/>
      <c r="O191" s="16"/>
      <c r="P191" s="16"/>
      <c r="Q191" s="16"/>
      <c r="R191" s="16"/>
      <c r="S191" s="16"/>
      <c r="T191" s="16"/>
      <c r="U191" s="16"/>
      <c r="V191" s="17"/>
    </row>
    <row r="192" spans="2:22" s="1" customFormat="1" x14ac:dyDescent="0.25">
      <c r="B192" s="14" t="s">
        <v>0</v>
      </c>
      <c r="C192" s="18" t="s">
        <v>3</v>
      </c>
      <c r="D192" s="19" t="s">
        <v>4</v>
      </c>
      <c r="E192" s="19" t="s">
        <v>5</v>
      </c>
      <c r="F192" s="19" t="s">
        <v>6</v>
      </c>
      <c r="G192" s="19" t="s">
        <v>7</v>
      </c>
      <c r="H192" s="19" t="s">
        <v>8</v>
      </c>
      <c r="I192" s="19" t="s">
        <v>9</v>
      </c>
      <c r="J192" s="19" t="s">
        <v>10</v>
      </c>
      <c r="K192" s="20" t="s">
        <v>11</v>
      </c>
      <c r="M192" s="14" t="s">
        <v>0</v>
      </c>
      <c r="N192" s="18" t="s">
        <v>3</v>
      </c>
      <c r="O192" s="19" t="s">
        <v>4</v>
      </c>
      <c r="P192" s="19" t="s">
        <v>5</v>
      </c>
      <c r="Q192" s="19" t="s">
        <v>6</v>
      </c>
      <c r="R192" s="19" t="s">
        <v>7</v>
      </c>
      <c r="S192" s="19" t="s">
        <v>8</v>
      </c>
      <c r="T192" s="19" t="s">
        <v>9</v>
      </c>
      <c r="U192" s="19" t="s">
        <v>10</v>
      </c>
      <c r="V192" s="20" t="s">
        <v>11</v>
      </c>
    </row>
    <row r="193" spans="2:22" x14ac:dyDescent="0.25">
      <c r="B193" s="14">
        <v>0</v>
      </c>
      <c r="C193" s="15">
        <v>12559</v>
      </c>
      <c r="D193" s="16">
        <v>96.908529999999999</v>
      </c>
      <c r="E193" s="16">
        <v>132.6747</v>
      </c>
      <c r="F193" s="16">
        <v>121.8916</v>
      </c>
      <c r="G193" s="16">
        <v>140.0643</v>
      </c>
      <c r="H193" s="16">
        <v>115</v>
      </c>
      <c r="I193" s="16">
        <v>124.9559</v>
      </c>
      <c r="J193" s="16">
        <v>586.56679999999994</v>
      </c>
      <c r="K193" s="17">
        <v>508.01150000000001</v>
      </c>
      <c r="M193" s="14">
        <v>0</v>
      </c>
      <c r="N193" s="15">
        <v>3751</v>
      </c>
      <c r="O193" s="16">
        <v>148.49619999999999</v>
      </c>
      <c r="P193" s="16">
        <v>72.490589999999997</v>
      </c>
      <c r="Q193" s="16">
        <v>67.894549999999995</v>
      </c>
      <c r="R193" s="16">
        <v>80.006249999999994</v>
      </c>
      <c r="S193" s="16">
        <v>51.865209999999998</v>
      </c>
      <c r="T193" s="16">
        <v>66.862849999999995</v>
      </c>
      <c r="U193" s="16">
        <v>573.48109999999997</v>
      </c>
      <c r="V193" s="17">
        <v>503.25439999999998</v>
      </c>
    </row>
    <row r="194" spans="2:22" x14ac:dyDescent="0.25">
      <c r="B194" s="14">
        <v>12</v>
      </c>
      <c r="C194" s="15">
        <v>14535</v>
      </c>
      <c r="D194" s="16">
        <v>97.505489999999995</v>
      </c>
      <c r="E194" s="16">
        <v>140.96539999999999</v>
      </c>
      <c r="F194" s="16">
        <v>131.6568</v>
      </c>
      <c r="G194" s="16">
        <v>148.92949999999999</v>
      </c>
      <c r="H194" s="16">
        <v>125.3994</v>
      </c>
      <c r="I194" s="16">
        <v>134.7516</v>
      </c>
      <c r="J194" s="16">
        <v>584.63760000000002</v>
      </c>
      <c r="K194" s="17">
        <v>511.46879999999999</v>
      </c>
      <c r="M194" s="14">
        <v>12</v>
      </c>
      <c r="N194" s="15">
        <v>5681</v>
      </c>
      <c r="O194" s="16">
        <v>64.92689</v>
      </c>
      <c r="P194" s="16">
        <v>93.301220000000001</v>
      </c>
      <c r="Q194" s="16">
        <v>78.665409999999994</v>
      </c>
      <c r="R194" s="16">
        <v>92.720010000000002</v>
      </c>
      <c r="S194" s="16">
        <v>61.294370000000001</v>
      </c>
      <c r="T194" s="16">
        <v>83.550849999999997</v>
      </c>
      <c r="U194" s="16">
        <v>581.60889999999995</v>
      </c>
      <c r="V194" s="17">
        <v>508.71629999999999</v>
      </c>
    </row>
    <row r="195" spans="2:22" x14ac:dyDescent="0.25">
      <c r="B195" s="14">
        <v>24</v>
      </c>
      <c r="C195" s="15">
        <v>21002</v>
      </c>
      <c r="D195" s="16">
        <v>69.119820000000004</v>
      </c>
      <c r="E195" s="16">
        <v>170.65960000000001</v>
      </c>
      <c r="F195" s="16">
        <v>156.9666</v>
      </c>
      <c r="G195" s="16">
        <v>183.24029999999999</v>
      </c>
      <c r="H195" s="16">
        <v>153.49590000000001</v>
      </c>
      <c r="I195" s="16">
        <v>162.21799999999999</v>
      </c>
      <c r="J195" s="16">
        <v>587.88739999999996</v>
      </c>
      <c r="K195" s="17">
        <v>506.88409999999999</v>
      </c>
      <c r="M195" s="14">
        <v>24</v>
      </c>
      <c r="N195" s="15">
        <v>7996</v>
      </c>
      <c r="O195" s="16">
        <v>47.59299</v>
      </c>
      <c r="P195" s="16">
        <v>110.9952</v>
      </c>
      <c r="Q195" s="16">
        <v>92.837140000000005</v>
      </c>
      <c r="R195" s="16">
        <v>113.1592</v>
      </c>
      <c r="S195" s="16">
        <v>79.511009999999999</v>
      </c>
      <c r="T195" s="16">
        <v>99.357159999999993</v>
      </c>
      <c r="U195" s="16">
        <v>580.87049999999999</v>
      </c>
      <c r="V195" s="17">
        <v>505.68</v>
      </c>
    </row>
    <row r="196" spans="2:22" x14ac:dyDescent="0.25">
      <c r="B196" s="14">
        <v>36</v>
      </c>
      <c r="C196" s="15">
        <v>20038</v>
      </c>
      <c r="D196" s="16">
        <v>77.190169999999995</v>
      </c>
      <c r="E196" s="16">
        <v>166.4485</v>
      </c>
      <c r="F196" s="16">
        <v>153.57400000000001</v>
      </c>
      <c r="G196" s="16">
        <v>175.57050000000001</v>
      </c>
      <c r="H196" s="16">
        <v>149.89330000000001</v>
      </c>
      <c r="I196" s="16">
        <v>158.71440000000001</v>
      </c>
      <c r="J196" s="16">
        <v>583.22090000000003</v>
      </c>
      <c r="K196" s="17">
        <v>509.83800000000002</v>
      </c>
      <c r="M196" s="14">
        <v>36</v>
      </c>
      <c r="N196" s="15">
        <v>7425</v>
      </c>
      <c r="O196" s="16">
        <v>50.307560000000002</v>
      </c>
      <c r="P196" s="16">
        <v>106.6827</v>
      </c>
      <c r="Q196" s="16">
        <v>89.846149999999994</v>
      </c>
      <c r="R196" s="16">
        <v>109.85899999999999</v>
      </c>
      <c r="S196" s="16">
        <v>77.077879999999993</v>
      </c>
      <c r="T196" s="16">
        <v>95.64649</v>
      </c>
      <c r="U196" s="16">
        <v>575.09180000000003</v>
      </c>
      <c r="V196" s="17">
        <v>509.03230000000002</v>
      </c>
    </row>
    <row r="197" spans="2:22" x14ac:dyDescent="0.25">
      <c r="B197" s="21">
        <v>48</v>
      </c>
      <c r="C197" s="22">
        <v>19750</v>
      </c>
      <c r="D197" s="23">
        <v>73.510329999999996</v>
      </c>
      <c r="E197" s="23">
        <v>165.70230000000001</v>
      </c>
      <c r="F197" s="23">
        <v>152.06559999999999</v>
      </c>
      <c r="G197" s="23">
        <v>174.00290000000001</v>
      </c>
      <c r="H197" s="23">
        <v>147.6652</v>
      </c>
      <c r="I197" s="23">
        <v>157.43350000000001</v>
      </c>
      <c r="J197" s="23">
        <v>583.97889999999995</v>
      </c>
      <c r="K197" s="24">
        <v>507.3329</v>
      </c>
      <c r="M197" s="21">
        <v>48</v>
      </c>
      <c r="N197" s="22">
        <v>7936</v>
      </c>
      <c r="O197" s="23">
        <v>49.407550000000001</v>
      </c>
      <c r="P197" s="23">
        <v>113.05710000000001</v>
      </c>
      <c r="Q197" s="23">
        <v>90.793700000000001</v>
      </c>
      <c r="R197" s="23">
        <v>114.4378</v>
      </c>
      <c r="S197" s="23">
        <v>74.652529999999999</v>
      </c>
      <c r="T197" s="23">
        <v>98.675280000000001</v>
      </c>
      <c r="U197" s="23">
        <v>579.38260000000002</v>
      </c>
      <c r="V197" s="24">
        <v>504.39760000000001</v>
      </c>
    </row>
  </sheetData>
  <mergeCells count="2">
    <mergeCell ref="B3:K3"/>
    <mergeCell ref="M3:V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84B7-6AAE-485E-B5BB-3D09DF047D07}">
  <sheetPr>
    <tabColor theme="9" tint="0.59999389629810485"/>
  </sheetPr>
  <dimension ref="B1:V119"/>
  <sheetViews>
    <sheetView topLeftCell="A34" zoomScale="55" zoomScaleNormal="55" workbookViewId="0">
      <selection activeCell="C9" sqref="C9"/>
    </sheetView>
  </sheetViews>
  <sheetFormatPr defaultRowHeight="15" x14ac:dyDescent="0.25"/>
  <cols>
    <col min="2" max="2" width="13.85546875" style="27" bestFit="1" customWidth="1"/>
    <col min="3" max="3" width="14" style="2" bestFit="1" customWidth="1"/>
    <col min="4" max="4" width="8.5703125" style="2" bestFit="1" customWidth="1"/>
    <col min="5" max="6" width="14.42578125" style="2" bestFit="1" customWidth="1"/>
    <col min="7" max="7" width="18.28515625" style="2" bestFit="1" customWidth="1"/>
    <col min="8" max="8" width="17.7109375" style="2" bestFit="1" customWidth="1"/>
    <col min="9" max="11" width="19.7109375" style="2" bestFit="1" customWidth="1"/>
    <col min="12" max="12" width="8.85546875" style="2"/>
    <col min="13" max="13" width="12.7109375" style="2" bestFit="1" customWidth="1"/>
    <col min="14" max="14" width="10.28515625" style="2" bestFit="1" customWidth="1"/>
    <col min="15" max="15" width="8.5703125" style="2" bestFit="1" customWidth="1"/>
    <col min="16" max="17" width="14.42578125" style="2" bestFit="1" customWidth="1"/>
    <col min="18" max="18" width="18.28515625" style="2" bestFit="1" customWidth="1"/>
    <col min="19" max="19" width="17.7109375" style="2" bestFit="1" customWidth="1"/>
    <col min="20" max="22" width="19.7109375" style="2" bestFit="1" customWidth="1"/>
  </cols>
  <sheetData>
    <row r="1" spans="2:22" x14ac:dyDescent="0.25">
      <c r="B1" s="28" t="s">
        <v>53</v>
      </c>
      <c r="C1" s="4">
        <v>1.2107985796049725</v>
      </c>
      <c r="M1" s="7"/>
    </row>
    <row r="2" spans="2:22" x14ac:dyDescent="0.25">
      <c r="B2" s="26"/>
      <c r="M2" s="7"/>
    </row>
    <row r="3" spans="2:22" x14ac:dyDescent="0.25">
      <c r="B3" s="38" t="s">
        <v>57</v>
      </c>
      <c r="C3" s="39"/>
      <c r="D3" s="39"/>
      <c r="E3" s="39"/>
      <c r="F3" s="39"/>
      <c r="G3" s="39"/>
      <c r="H3" s="39"/>
      <c r="I3" s="39"/>
      <c r="J3" s="39"/>
      <c r="K3" s="40"/>
      <c r="L3"/>
      <c r="M3" s="38" t="s">
        <v>56</v>
      </c>
      <c r="N3" s="39"/>
      <c r="O3" s="39"/>
      <c r="P3" s="39"/>
      <c r="Q3" s="39"/>
      <c r="R3" s="39"/>
      <c r="S3" s="39"/>
      <c r="T3" s="39"/>
      <c r="U3" s="39"/>
      <c r="V3" s="40"/>
    </row>
    <row r="4" spans="2:22" x14ac:dyDescent="0.25">
      <c r="B4" s="29"/>
      <c r="C4" s="30"/>
      <c r="D4" s="30"/>
      <c r="E4" s="30"/>
      <c r="F4" s="30"/>
      <c r="G4" s="30"/>
      <c r="H4" s="30"/>
      <c r="I4" s="30"/>
      <c r="J4" s="30"/>
      <c r="K4" s="31"/>
      <c r="L4"/>
      <c r="M4" s="29"/>
      <c r="N4" s="30"/>
      <c r="O4" s="30"/>
      <c r="P4" s="30"/>
      <c r="Q4" s="30"/>
      <c r="R4" s="30"/>
      <c r="S4" s="30"/>
      <c r="T4" s="30"/>
      <c r="U4" s="30"/>
      <c r="V4" s="31"/>
    </row>
    <row r="5" spans="2:22" x14ac:dyDescent="0.25">
      <c r="B5" s="5" t="s">
        <v>52</v>
      </c>
      <c r="C5" s="10">
        <v>42576</v>
      </c>
      <c r="D5" s="30"/>
      <c r="E5" s="30"/>
      <c r="F5" s="30"/>
      <c r="G5" s="30"/>
      <c r="H5" s="30"/>
      <c r="I5" s="30"/>
      <c r="J5" s="30"/>
      <c r="K5" s="31"/>
      <c r="L5"/>
      <c r="M5" s="29"/>
      <c r="N5" s="30"/>
      <c r="O5" s="30"/>
      <c r="P5" s="30"/>
      <c r="Q5" s="30"/>
      <c r="R5" s="30"/>
      <c r="S5" s="30"/>
      <c r="T5" s="30"/>
      <c r="U5" s="30"/>
      <c r="V5" s="31"/>
    </row>
    <row r="6" spans="2:22" x14ac:dyDescent="0.25">
      <c r="B6" s="5"/>
      <c r="C6"/>
      <c r="K6" s="6"/>
      <c r="L6"/>
      <c r="M6" s="5"/>
      <c r="N6"/>
      <c r="V6" s="6"/>
    </row>
    <row r="7" spans="2:22" x14ac:dyDescent="0.25">
      <c r="B7" s="32" t="s">
        <v>63</v>
      </c>
      <c r="C7" s="7" t="s">
        <v>54</v>
      </c>
      <c r="K7" s="6"/>
      <c r="M7" s="35" t="s">
        <v>64</v>
      </c>
      <c r="V7" s="6"/>
    </row>
    <row r="8" spans="2:22" x14ac:dyDescent="0.25">
      <c r="B8" s="32" t="s">
        <v>0</v>
      </c>
      <c r="C8" s="7" t="s">
        <v>3</v>
      </c>
      <c r="D8" s="7" t="s">
        <v>4</v>
      </c>
      <c r="E8" s="7" t="s">
        <v>5</v>
      </c>
      <c r="F8" s="7" t="s">
        <v>6</v>
      </c>
      <c r="G8" s="7" t="s">
        <v>7</v>
      </c>
      <c r="H8" s="7" t="s">
        <v>8</v>
      </c>
      <c r="I8" s="7" t="s">
        <v>9</v>
      </c>
      <c r="J8" s="7" t="s">
        <v>10</v>
      </c>
      <c r="K8" s="8" t="s">
        <v>11</v>
      </c>
      <c r="L8" s="7"/>
      <c r="M8" s="35" t="s">
        <v>0</v>
      </c>
      <c r="N8" s="7" t="s">
        <v>3</v>
      </c>
      <c r="O8" s="7" t="s">
        <v>4</v>
      </c>
      <c r="P8" s="7" t="s">
        <v>5</v>
      </c>
      <c r="Q8" s="7" t="s">
        <v>6</v>
      </c>
      <c r="R8" s="7" t="s">
        <v>7</v>
      </c>
      <c r="S8" s="7" t="s">
        <v>8</v>
      </c>
      <c r="T8" s="7" t="s">
        <v>9</v>
      </c>
      <c r="U8" s="7" t="s">
        <v>10</v>
      </c>
      <c r="V8" s="8" t="s">
        <v>11</v>
      </c>
    </row>
    <row r="9" spans="2:22" x14ac:dyDescent="0.25">
      <c r="B9" s="32">
        <v>0</v>
      </c>
      <c r="C9" s="2">
        <v>37511</v>
      </c>
      <c r="D9" s="2">
        <v>176.55439999999999</v>
      </c>
      <c r="E9" s="2">
        <v>233.64189999999999</v>
      </c>
      <c r="F9" s="2">
        <v>205.035</v>
      </c>
      <c r="G9" s="2">
        <v>247.4066</v>
      </c>
      <c r="H9" s="2">
        <v>197.66890000000001</v>
      </c>
      <c r="I9" s="2">
        <v>217.1771</v>
      </c>
      <c r="J9" s="2">
        <v>646.51220000000001</v>
      </c>
      <c r="K9" s="6">
        <v>528.4769</v>
      </c>
      <c r="M9" s="35">
        <v>0</v>
      </c>
      <c r="N9" s="2">
        <v>16065</v>
      </c>
      <c r="O9" s="2">
        <v>143.83250000000001</v>
      </c>
      <c r="P9" s="2">
        <v>147.42859999999999</v>
      </c>
      <c r="Q9" s="2">
        <v>139.13560000000001</v>
      </c>
      <c r="R9" s="2">
        <v>152.345</v>
      </c>
      <c r="S9" s="2">
        <v>130.08459999999999</v>
      </c>
      <c r="T9" s="2">
        <v>141.94220000000001</v>
      </c>
      <c r="U9" s="2">
        <v>645.36440000000005</v>
      </c>
      <c r="V9" s="6">
        <v>505.49099999999999</v>
      </c>
    </row>
    <row r="10" spans="2:22" x14ac:dyDescent="0.25">
      <c r="B10" s="32">
        <v>12</v>
      </c>
      <c r="C10" s="2">
        <v>58430</v>
      </c>
      <c r="D10" s="2">
        <v>154.87459999999999</v>
      </c>
      <c r="E10" s="2">
        <v>279.22489999999999</v>
      </c>
      <c r="F10" s="2">
        <v>267.12279999999998</v>
      </c>
      <c r="G10" s="2">
        <v>285.97379999999998</v>
      </c>
      <c r="H10" s="2">
        <v>258.14139999999998</v>
      </c>
      <c r="I10" s="2">
        <v>271.37290000000002</v>
      </c>
      <c r="J10" s="2">
        <v>642.93489999999997</v>
      </c>
      <c r="K10" s="6">
        <v>517.59270000000004</v>
      </c>
      <c r="M10" s="35">
        <v>12</v>
      </c>
      <c r="N10" s="2">
        <v>20849</v>
      </c>
      <c r="O10" s="2">
        <v>51.661180000000002</v>
      </c>
      <c r="P10" s="2">
        <v>169.36449999999999</v>
      </c>
      <c r="Q10" s="2">
        <v>157.03020000000001</v>
      </c>
      <c r="R10" s="2">
        <v>174.00290000000001</v>
      </c>
      <c r="S10" s="2">
        <v>152.48609999999999</v>
      </c>
      <c r="T10" s="2">
        <v>161.76779999999999</v>
      </c>
      <c r="U10" s="2">
        <v>638.87030000000004</v>
      </c>
      <c r="V10" s="6">
        <v>503.35750000000002</v>
      </c>
    </row>
    <row r="11" spans="2:22" x14ac:dyDescent="0.25">
      <c r="B11" s="32">
        <v>24</v>
      </c>
      <c r="K11" s="6"/>
      <c r="M11" s="35">
        <v>24</v>
      </c>
      <c r="V11" s="6"/>
    </row>
    <row r="12" spans="2:22" x14ac:dyDescent="0.25">
      <c r="B12" s="32">
        <v>36</v>
      </c>
      <c r="C12" s="2">
        <v>71270</v>
      </c>
      <c r="D12" s="2">
        <v>160.85740000000001</v>
      </c>
      <c r="E12" s="2">
        <v>313.39929999999998</v>
      </c>
      <c r="F12" s="2">
        <v>290.10829999999999</v>
      </c>
      <c r="G12" s="2">
        <v>322.12110000000001</v>
      </c>
      <c r="H12" s="2">
        <v>279.01609999999999</v>
      </c>
      <c r="I12" s="2">
        <v>300.02480000000003</v>
      </c>
      <c r="J12" s="2">
        <v>646.26980000000003</v>
      </c>
      <c r="K12" s="6">
        <v>544.07820000000004</v>
      </c>
      <c r="M12" s="35">
        <v>36</v>
      </c>
      <c r="N12" s="2">
        <v>22555</v>
      </c>
      <c r="O12" s="2">
        <v>8.5107499999999998</v>
      </c>
      <c r="P12" s="2">
        <v>177.31020000000001</v>
      </c>
      <c r="Q12" s="2">
        <v>162.07929999999999</v>
      </c>
      <c r="R12" s="2">
        <v>178.33959999999999</v>
      </c>
      <c r="S12" s="2">
        <v>158.00319999999999</v>
      </c>
      <c r="T12" s="2">
        <v>168.4477</v>
      </c>
      <c r="U12" s="2">
        <v>638.82370000000003</v>
      </c>
      <c r="V12" s="6">
        <v>524.35609999999997</v>
      </c>
    </row>
    <row r="13" spans="2:22" x14ac:dyDescent="0.25">
      <c r="B13" s="32">
        <v>48</v>
      </c>
      <c r="C13" s="2">
        <v>68927</v>
      </c>
      <c r="D13" s="2">
        <v>144.90960000000001</v>
      </c>
      <c r="E13" s="2">
        <v>321.07830000000001</v>
      </c>
      <c r="F13" s="2">
        <v>274.05360000000002</v>
      </c>
      <c r="G13" s="2">
        <v>332.33870000000002</v>
      </c>
      <c r="H13" s="2">
        <v>260.82369999999997</v>
      </c>
      <c r="I13" s="2">
        <v>294.4264</v>
      </c>
      <c r="J13" s="2">
        <v>644.18989999999997</v>
      </c>
      <c r="K13" s="6">
        <v>526.21079999999995</v>
      </c>
      <c r="M13" s="35">
        <v>48</v>
      </c>
      <c r="N13" s="2">
        <v>22654</v>
      </c>
      <c r="O13" s="2">
        <v>166.98939999999999</v>
      </c>
      <c r="P13" s="2">
        <v>177.58029999999999</v>
      </c>
      <c r="Q13" s="2">
        <v>162.6755</v>
      </c>
      <c r="R13" s="2">
        <v>184.39089999999999</v>
      </c>
      <c r="S13" s="2">
        <v>156.97450000000001</v>
      </c>
      <c r="T13" s="2">
        <v>168.79730000000001</v>
      </c>
      <c r="U13" s="2">
        <v>642.50750000000005</v>
      </c>
      <c r="V13" s="6">
        <v>527.70590000000004</v>
      </c>
    </row>
    <row r="14" spans="2:22" x14ac:dyDescent="0.25">
      <c r="B14" s="32"/>
      <c r="K14" s="6"/>
      <c r="M14" s="35"/>
      <c r="V14" s="6"/>
    </row>
    <row r="15" spans="2:22" x14ac:dyDescent="0.25">
      <c r="B15" s="33" t="s">
        <v>65</v>
      </c>
      <c r="C15" s="16"/>
      <c r="D15" s="16"/>
      <c r="E15" s="16"/>
      <c r="F15" s="16"/>
      <c r="G15" s="16"/>
      <c r="H15" s="16"/>
      <c r="I15" s="16"/>
      <c r="J15" s="16"/>
      <c r="K15" s="17"/>
      <c r="M15" s="36" t="s">
        <v>66</v>
      </c>
      <c r="N15" s="16"/>
      <c r="O15" s="16"/>
      <c r="P15" s="16"/>
      <c r="Q15" s="16"/>
      <c r="R15" s="16"/>
      <c r="S15" s="16"/>
      <c r="T15" s="16"/>
      <c r="U15" s="16"/>
      <c r="V15" s="17"/>
    </row>
    <row r="16" spans="2:22" x14ac:dyDescent="0.25">
      <c r="B16" s="33" t="s">
        <v>0</v>
      </c>
      <c r="C16" s="19" t="s">
        <v>3</v>
      </c>
      <c r="D16" s="19" t="s">
        <v>4</v>
      </c>
      <c r="E16" s="19" t="s">
        <v>5</v>
      </c>
      <c r="F16" s="19" t="s">
        <v>6</v>
      </c>
      <c r="G16" s="19" t="s">
        <v>7</v>
      </c>
      <c r="H16" s="19" t="s">
        <v>8</v>
      </c>
      <c r="I16" s="19" t="s">
        <v>9</v>
      </c>
      <c r="J16" s="19" t="s">
        <v>10</v>
      </c>
      <c r="K16" s="20" t="s">
        <v>11</v>
      </c>
      <c r="L16" s="7"/>
      <c r="M16" s="36" t="s">
        <v>0</v>
      </c>
      <c r="N16" s="19" t="s">
        <v>3</v>
      </c>
      <c r="O16" s="19" t="s">
        <v>4</v>
      </c>
      <c r="P16" s="19" t="s">
        <v>5</v>
      </c>
      <c r="Q16" s="19" t="s">
        <v>6</v>
      </c>
      <c r="R16" s="19" t="s">
        <v>7</v>
      </c>
      <c r="S16" s="19" t="s">
        <v>8</v>
      </c>
      <c r="T16" s="19" t="s">
        <v>9</v>
      </c>
      <c r="U16" s="19" t="s">
        <v>10</v>
      </c>
      <c r="V16" s="20" t="s">
        <v>11</v>
      </c>
    </row>
    <row r="17" spans="2:22" x14ac:dyDescent="0.25">
      <c r="B17" s="33">
        <v>0</v>
      </c>
      <c r="C17" s="16">
        <v>34523</v>
      </c>
      <c r="D17" s="16">
        <v>146.77019999999999</v>
      </c>
      <c r="E17" s="16">
        <v>217.03960000000001</v>
      </c>
      <c r="F17" s="16">
        <v>203.0419</v>
      </c>
      <c r="G17" s="16">
        <v>222.00899999999999</v>
      </c>
      <c r="H17" s="16">
        <v>191.80199999999999</v>
      </c>
      <c r="I17" s="16">
        <v>208.6557</v>
      </c>
      <c r="J17" s="16">
        <v>602.73919999999998</v>
      </c>
      <c r="K17" s="17">
        <v>520.45209999999997</v>
      </c>
      <c r="M17" s="36">
        <v>0</v>
      </c>
      <c r="N17" s="16">
        <v>18626</v>
      </c>
      <c r="O17" s="16">
        <v>111.1206</v>
      </c>
      <c r="P17" s="16">
        <v>169.6968</v>
      </c>
      <c r="Q17" s="16">
        <v>140.30269999999999</v>
      </c>
      <c r="R17" s="16">
        <v>174.7484</v>
      </c>
      <c r="S17" s="16">
        <v>132.74029999999999</v>
      </c>
      <c r="T17" s="16">
        <v>152.4143</v>
      </c>
      <c r="U17" s="16">
        <v>606.34469999999999</v>
      </c>
      <c r="V17" s="17">
        <v>514.27829999999994</v>
      </c>
    </row>
    <row r="18" spans="2:22" x14ac:dyDescent="0.25">
      <c r="B18" s="33">
        <v>12</v>
      </c>
      <c r="C18" s="16">
        <v>69216</v>
      </c>
      <c r="D18" s="16">
        <v>119.9041</v>
      </c>
      <c r="E18" s="16">
        <v>302.65440000000001</v>
      </c>
      <c r="F18" s="16">
        <v>291.71600000000001</v>
      </c>
      <c r="G18" s="16">
        <v>310.26600000000002</v>
      </c>
      <c r="H18" s="16">
        <v>280.7294</v>
      </c>
      <c r="I18" s="16">
        <v>295.53699999999998</v>
      </c>
      <c r="J18" s="16">
        <v>600.58709999999996</v>
      </c>
      <c r="K18" s="17">
        <v>517.65480000000002</v>
      </c>
      <c r="M18" s="36">
        <v>12</v>
      </c>
      <c r="N18" s="16">
        <v>24840</v>
      </c>
      <c r="O18" s="16">
        <v>113.82040000000001</v>
      </c>
      <c r="P18" s="16">
        <v>191.64269999999999</v>
      </c>
      <c r="Q18" s="16">
        <v>165.27930000000001</v>
      </c>
      <c r="R18" s="16">
        <v>195.50190000000001</v>
      </c>
      <c r="S18" s="16">
        <v>162.00309999999999</v>
      </c>
      <c r="T18" s="16">
        <v>176.69810000000001</v>
      </c>
      <c r="U18" s="16">
        <v>603.54859999999996</v>
      </c>
      <c r="V18" s="17">
        <v>507.85050000000001</v>
      </c>
    </row>
    <row r="19" spans="2:22" x14ac:dyDescent="0.25">
      <c r="B19" s="33">
        <v>24</v>
      </c>
      <c r="C19" s="16">
        <v>90415</v>
      </c>
      <c r="D19" s="16">
        <v>24.095179999999999</v>
      </c>
      <c r="E19" s="16">
        <v>349.55509999999998</v>
      </c>
      <c r="F19" s="16">
        <v>330.5224</v>
      </c>
      <c r="G19" s="16">
        <v>363.41989999999998</v>
      </c>
      <c r="H19" s="16">
        <v>315.10160000000002</v>
      </c>
      <c r="I19" s="16">
        <v>337.88260000000002</v>
      </c>
      <c r="J19" s="16">
        <v>607.5222</v>
      </c>
      <c r="K19" s="17">
        <v>518.86839999999995</v>
      </c>
      <c r="M19" s="36">
        <v>24</v>
      </c>
      <c r="N19" s="16">
        <v>36580</v>
      </c>
      <c r="O19" s="16">
        <v>112.7024</v>
      </c>
      <c r="P19" s="16">
        <v>224.2714</v>
      </c>
      <c r="Q19" s="16">
        <v>207.94069999999999</v>
      </c>
      <c r="R19" s="16">
        <v>229.26840000000001</v>
      </c>
      <c r="S19" s="16">
        <v>202.76589999999999</v>
      </c>
      <c r="T19" s="16">
        <v>214.77119999999999</v>
      </c>
      <c r="U19" s="16">
        <v>609.0213</v>
      </c>
      <c r="V19" s="17">
        <v>522.76130000000001</v>
      </c>
    </row>
    <row r="20" spans="2:22" x14ac:dyDescent="0.25">
      <c r="B20" s="33">
        <v>36</v>
      </c>
      <c r="C20" s="16">
        <v>88199</v>
      </c>
      <c r="D20" s="16">
        <v>155.80170000000001</v>
      </c>
      <c r="E20" s="16">
        <v>346.65769999999998</v>
      </c>
      <c r="F20" s="16">
        <v>324.70510000000002</v>
      </c>
      <c r="G20" s="16">
        <v>354.18920000000003</v>
      </c>
      <c r="H20" s="16">
        <v>300.98669999999998</v>
      </c>
      <c r="I20" s="16">
        <v>333.7869</v>
      </c>
      <c r="J20" s="16">
        <v>601.13430000000005</v>
      </c>
      <c r="K20" s="17">
        <v>527.35760000000005</v>
      </c>
      <c r="M20" s="36">
        <v>36</v>
      </c>
      <c r="N20" s="16">
        <v>32138</v>
      </c>
      <c r="O20" s="16">
        <v>133.3081</v>
      </c>
      <c r="P20" s="16">
        <v>212.4171</v>
      </c>
      <c r="Q20" s="16">
        <v>193.17529999999999</v>
      </c>
      <c r="R20" s="16">
        <v>217.99539999999999</v>
      </c>
      <c r="S20" s="16">
        <v>183.80699999999999</v>
      </c>
      <c r="T20" s="16">
        <v>201.0009</v>
      </c>
      <c r="U20" s="16">
        <v>604.52589999999998</v>
      </c>
      <c r="V20" s="17">
        <v>529.93539999999996</v>
      </c>
    </row>
    <row r="21" spans="2:22" x14ac:dyDescent="0.25">
      <c r="B21" s="33">
        <v>48</v>
      </c>
      <c r="C21" s="16">
        <v>95852</v>
      </c>
      <c r="D21" s="16">
        <v>119.09520000000001</v>
      </c>
      <c r="E21" s="16">
        <v>365.58109999999999</v>
      </c>
      <c r="F21" s="16">
        <v>334.48849999999999</v>
      </c>
      <c r="G21" s="16">
        <v>369.43880000000001</v>
      </c>
      <c r="H21" s="16">
        <v>321.65980000000002</v>
      </c>
      <c r="I21" s="16">
        <v>347.89850000000001</v>
      </c>
      <c r="J21" s="16">
        <v>613.25199999999995</v>
      </c>
      <c r="K21" s="17">
        <v>508.2389</v>
      </c>
      <c r="M21" s="36">
        <v>48</v>
      </c>
      <c r="N21" s="16">
        <v>29749</v>
      </c>
      <c r="O21" s="16">
        <v>156.93469999999999</v>
      </c>
      <c r="P21" s="16">
        <v>200.06800000000001</v>
      </c>
      <c r="Q21" s="16">
        <v>189.90710000000001</v>
      </c>
      <c r="R21" s="16">
        <v>206.3201</v>
      </c>
      <c r="S21" s="16">
        <v>178.6309</v>
      </c>
      <c r="T21" s="16">
        <v>193.4751</v>
      </c>
      <c r="U21" s="16">
        <v>605.2201</v>
      </c>
      <c r="V21" s="17">
        <v>524.51120000000003</v>
      </c>
    </row>
    <row r="22" spans="2:22" x14ac:dyDescent="0.25">
      <c r="B22" s="32"/>
      <c r="K22" s="6"/>
      <c r="M22" s="35"/>
      <c r="V22" s="6"/>
    </row>
    <row r="23" spans="2:22" x14ac:dyDescent="0.25">
      <c r="B23" s="32" t="s">
        <v>67</v>
      </c>
      <c r="K23" s="6"/>
      <c r="M23" s="35" t="s">
        <v>68</v>
      </c>
      <c r="V23" s="6"/>
    </row>
    <row r="24" spans="2:22" x14ac:dyDescent="0.25">
      <c r="B24" s="32" t="s">
        <v>0</v>
      </c>
      <c r="C24" s="7" t="s">
        <v>3</v>
      </c>
      <c r="D24" s="7" t="s">
        <v>4</v>
      </c>
      <c r="E24" s="7" t="s">
        <v>5</v>
      </c>
      <c r="F24" s="7" t="s">
        <v>6</v>
      </c>
      <c r="G24" s="7" t="s">
        <v>7</v>
      </c>
      <c r="H24" s="7" t="s">
        <v>8</v>
      </c>
      <c r="I24" s="7" t="s">
        <v>9</v>
      </c>
      <c r="J24" s="7" t="s">
        <v>10</v>
      </c>
      <c r="K24" s="8" t="s">
        <v>11</v>
      </c>
      <c r="L24" s="7"/>
      <c r="M24" s="35" t="s">
        <v>0</v>
      </c>
      <c r="N24" s="7" t="s">
        <v>3</v>
      </c>
      <c r="O24" s="7" t="s">
        <v>4</v>
      </c>
      <c r="P24" s="7" t="s">
        <v>5</v>
      </c>
      <c r="Q24" s="7" t="s">
        <v>6</v>
      </c>
      <c r="R24" s="7" t="s">
        <v>7</v>
      </c>
      <c r="S24" s="7" t="s">
        <v>8</v>
      </c>
      <c r="T24" s="7" t="s">
        <v>9</v>
      </c>
      <c r="U24" s="7" t="s">
        <v>10</v>
      </c>
      <c r="V24" s="8" t="s">
        <v>11</v>
      </c>
    </row>
    <row r="25" spans="2:22" x14ac:dyDescent="0.25">
      <c r="B25" s="32">
        <v>0</v>
      </c>
      <c r="C25" s="2">
        <v>37986</v>
      </c>
      <c r="D25" s="2">
        <v>62.020479999999999</v>
      </c>
      <c r="E25" s="2">
        <v>230.77719999999999</v>
      </c>
      <c r="F25" s="2">
        <v>211.1506</v>
      </c>
      <c r="G25" s="2">
        <v>238.53720000000001</v>
      </c>
      <c r="H25" s="2">
        <v>205.3022</v>
      </c>
      <c r="I25" s="2">
        <v>218.191</v>
      </c>
      <c r="J25" s="2">
        <v>625.19640000000004</v>
      </c>
      <c r="K25" s="6">
        <v>431.3981</v>
      </c>
      <c r="M25" s="35">
        <v>0</v>
      </c>
      <c r="N25" s="2">
        <v>15974</v>
      </c>
      <c r="O25" s="2">
        <v>39.50094</v>
      </c>
      <c r="P25" s="2">
        <v>152.29929999999999</v>
      </c>
      <c r="Q25" s="2">
        <v>134.8664</v>
      </c>
      <c r="R25" s="2">
        <v>161.1986</v>
      </c>
      <c r="S25" s="2">
        <v>121.5936</v>
      </c>
      <c r="T25" s="2">
        <v>141.1694</v>
      </c>
      <c r="U25" s="2">
        <v>621.9538</v>
      </c>
      <c r="V25" s="6">
        <v>446.13119999999998</v>
      </c>
    </row>
    <row r="26" spans="2:22" x14ac:dyDescent="0.25">
      <c r="B26" s="32">
        <v>12</v>
      </c>
      <c r="C26" s="2">
        <v>65150</v>
      </c>
      <c r="D26" s="2">
        <v>63.089959999999998</v>
      </c>
      <c r="E26" s="2">
        <v>306.96769999999998</v>
      </c>
      <c r="F26" s="2">
        <v>271.36009999999999</v>
      </c>
      <c r="G26" s="2">
        <v>327</v>
      </c>
      <c r="H26" s="2">
        <v>258.1472</v>
      </c>
      <c r="I26" s="2">
        <v>286.68079999999998</v>
      </c>
      <c r="J26" s="2">
        <v>627.13239999999996</v>
      </c>
      <c r="K26" s="6">
        <v>431.58609999999999</v>
      </c>
      <c r="M26" s="35">
        <v>12</v>
      </c>
      <c r="N26" s="2">
        <v>26787</v>
      </c>
      <c r="O26" s="2">
        <v>31.355170000000001</v>
      </c>
      <c r="P26" s="2">
        <v>187.0172</v>
      </c>
      <c r="Q26" s="2">
        <v>182.66200000000001</v>
      </c>
      <c r="R26" s="2">
        <v>191.47059999999999</v>
      </c>
      <c r="S26" s="2">
        <v>174.92859999999999</v>
      </c>
      <c r="T26" s="2">
        <v>183.5772</v>
      </c>
      <c r="U26" s="2">
        <v>624.26319999999998</v>
      </c>
      <c r="V26" s="6">
        <v>432.88119999999998</v>
      </c>
    </row>
    <row r="27" spans="2:22" x14ac:dyDescent="0.25">
      <c r="B27" s="32">
        <v>24</v>
      </c>
      <c r="C27" s="2">
        <v>79647</v>
      </c>
      <c r="D27" s="2">
        <v>130.709</v>
      </c>
      <c r="E27" s="2">
        <v>328.20429999999999</v>
      </c>
      <c r="F27" s="2">
        <v>310.28660000000002</v>
      </c>
      <c r="G27" s="2">
        <v>349.1848</v>
      </c>
      <c r="H27" s="2">
        <v>295.29820000000001</v>
      </c>
      <c r="I27" s="2">
        <v>316.73700000000002</v>
      </c>
      <c r="J27" s="2">
        <v>631.41679999999997</v>
      </c>
      <c r="K27" s="6">
        <v>444.94170000000003</v>
      </c>
      <c r="M27" s="35">
        <v>24</v>
      </c>
      <c r="N27" s="2">
        <v>33677</v>
      </c>
      <c r="O27" s="2">
        <v>51.29513</v>
      </c>
      <c r="P27" s="2">
        <v>217.88550000000001</v>
      </c>
      <c r="Q27" s="2">
        <v>197.28</v>
      </c>
      <c r="R27" s="2">
        <v>222.1824</v>
      </c>
      <c r="S27" s="2">
        <v>191.80199999999999</v>
      </c>
      <c r="T27" s="2">
        <v>205.8253</v>
      </c>
      <c r="U27" s="2">
        <v>629.15549999999996</v>
      </c>
      <c r="V27" s="6">
        <v>439.87970000000001</v>
      </c>
    </row>
    <row r="28" spans="2:22" x14ac:dyDescent="0.25">
      <c r="B28" s="32">
        <v>36</v>
      </c>
      <c r="C28" s="2">
        <v>81026</v>
      </c>
      <c r="D28" s="2">
        <v>82.404240000000001</v>
      </c>
      <c r="E28" s="2">
        <v>336.5718</v>
      </c>
      <c r="F28" s="2">
        <v>307.48390000000001</v>
      </c>
      <c r="G28" s="2">
        <v>345.62700000000001</v>
      </c>
      <c r="H28" s="2">
        <v>298.0419</v>
      </c>
      <c r="I28" s="2">
        <v>319.53579999999999</v>
      </c>
      <c r="J28" s="2">
        <v>624.82349999999997</v>
      </c>
      <c r="K28" s="6">
        <v>428.88279999999997</v>
      </c>
      <c r="M28" s="35">
        <v>36</v>
      </c>
      <c r="N28" s="2">
        <v>28631</v>
      </c>
      <c r="O28" s="2">
        <v>36.904400000000003</v>
      </c>
      <c r="P28" s="2">
        <v>200.91210000000001</v>
      </c>
      <c r="Q28" s="2">
        <v>182.35329999999999</v>
      </c>
      <c r="R28" s="2">
        <v>206.9324</v>
      </c>
      <c r="S28" s="2">
        <v>168.3716</v>
      </c>
      <c r="T28" s="2">
        <v>189.5968</v>
      </c>
      <c r="U28" s="2">
        <v>625.09609999999998</v>
      </c>
      <c r="V28" s="6">
        <v>432.35719999999998</v>
      </c>
    </row>
    <row r="29" spans="2:22" x14ac:dyDescent="0.25">
      <c r="B29" s="32">
        <v>48</v>
      </c>
      <c r="C29" s="2">
        <v>82761</v>
      </c>
      <c r="D29" s="2">
        <v>74.034139999999994</v>
      </c>
      <c r="E29" s="2">
        <v>345.0471</v>
      </c>
      <c r="F29" s="2">
        <v>305.7724</v>
      </c>
      <c r="G29" s="2">
        <v>352.6386</v>
      </c>
      <c r="H29" s="2">
        <v>297.75490000000002</v>
      </c>
      <c r="I29" s="2">
        <v>323.22899999999998</v>
      </c>
      <c r="J29" s="2">
        <v>632.47889999999995</v>
      </c>
      <c r="K29" s="6">
        <v>420.74689999999998</v>
      </c>
      <c r="M29" s="35">
        <v>48</v>
      </c>
      <c r="N29" s="2">
        <v>28281</v>
      </c>
      <c r="O29" s="2">
        <v>62.109079999999999</v>
      </c>
      <c r="P29" s="2">
        <v>201.50370000000001</v>
      </c>
      <c r="Q29" s="2">
        <v>180.3244</v>
      </c>
      <c r="R29" s="2">
        <v>208.29069999999999</v>
      </c>
      <c r="S29" s="2">
        <v>167.28720000000001</v>
      </c>
      <c r="T29" s="2">
        <v>188.18719999999999</v>
      </c>
      <c r="U29" s="2">
        <v>629.93550000000005</v>
      </c>
      <c r="V29" s="6">
        <v>434.92689999999999</v>
      </c>
    </row>
    <row r="30" spans="2:22" x14ac:dyDescent="0.25">
      <c r="B30" s="32"/>
      <c r="K30" s="6"/>
      <c r="M30" s="35"/>
      <c r="V30" s="6"/>
    </row>
    <row r="31" spans="2:22" x14ac:dyDescent="0.25">
      <c r="B31" s="33" t="s">
        <v>69</v>
      </c>
      <c r="C31" s="16"/>
      <c r="D31" s="16"/>
      <c r="E31" s="16"/>
      <c r="F31" s="16"/>
      <c r="G31" s="16"/>
      <c r="H31" s="16"/>
      <c r="I31" s="16"/>
      <c r="J31" s="16"/>
      <c r="K31" s="17"/>
      <c r="M31" s="36" t="s">
        <v>70</v>
      </c>
      <c r="N31" s="16"/>
      <c r="O31" s="16"/>
      <c r="P31" s="16"/>
      <c r="Q31" s="16"/>
      <c r="R31" s="16"/>
      <c r="S31" s="16"/>
      <c r="T31" s="16"/>
      <c r="U31" s="16"/>
      <c r="V31" s="17"/>
    </row>
    <row r="32" spans="2:22" x14ac:dyDescent="0.25">
      <c r="B32" s="33" t="s">
        <v>0</v>
      </c>
      <c r="C32" s="19" t="s">
        <v>3</v>
      </c>
      <c r="D32" s="19" t="s">
        <v>4</v>
      </c>
      <c r="E32" s="19" t="s">
        <v>5</v>
      </c>
      <c r="F32" s="19" t="s">
        <v>6</v>
      </c>
      <c r="G32" s="19" t="s">
        <v>7</v>
      </c>
      <c r="H32" s="19" t="s">
        <v>8</v>
      </c>
      <c r="I32" s="19" t="s">
        <v>9</v>
      </c>
      <c r="J32" s="19" t="s">
        <v>10</v>
      </c>
      <c r="K32" s="20" t="s">
        <v>11</v>
      </c>
      <c r="L32" s="7"/>
      <c r="M32" s="36" t="s">
        <v>0</v>
      </c>
      <c r="N32" s="19" t="s">
        <v>3</v>
      </c>
      <c r="O32" s="19" t="s">
        <v>4</v>
      </c>
      <c r="P32" s="19" t="s">
        <v>5</v>
      </c>
      <c r="Q32" s="19" t="s">
        <v>6</v>
      </c>
      <c r="R32" s="19" t="s">
        <v>7</v>
      </c>
      <c r="S32" s="19" t="s">
        <v>8</v>
      </c>
      <c r="T32" s="19" t="s">
        <v>9</v>
      </c>
      <c r="U32" s="19" t="s">
        <v>10</v>
      </c>
      <c r="V32" s="20" t="s">
        <v>11</v>
      </c>
    </row>
    <row r="33" spans="2:22" x14ac:dyDescent="0.25">
      <c r="B33" s="33">
        <v>0</v>
      </c>
      <c r="C33" s="16">
        <v>35411</v>
      </c>
      <c r="D33" s="16">
        <v>136.46430000000001</v>
      </c>
      <c r="E33" s="16">
        <v>230.29079999999999</v>
      </c>
      <c r="F33" s="16">
        <v>196.01689999999999</v>
      </c>
      <c r="G33" s="16">
        <v>238.29599999999999</v>
      </c>
      <c r="H33" s="16">
        <v>192.21340000000001</v>
      </c>
      <c r="I33" s="16">
        <v>210.95259999999999</v>
      </c>
      <c r="J33" s="16">
        <v>695.26149999999996</v>
      </c>
      <c r="K33" s="17">
        <v>533.73109999999997</v>
      </c>
      <c r="M33" s="36">
        <v>0</v>
      </c>
      <c r="N33" s="16">
        <v>20172</v>
      </c>
      <c r="O33" s="16">
        <v>139.55350000000001</v>
      </c>
      <c r="P33" s="16">
        <v>170.32509999999999</v>
      </c>
      <c r="Q33" s="16">
        <v>151.15989999999999</v>
      </c>
      <c r="R33" s="16">
        <v>178.6309</v>
      </c>
      <c r="S33" s="16">
        <v>144.94139999999999</v>
      </c>
      <c r="T33" s="16">
        <v>158.9529</v>
      </c>
      <c r="U33" s="16">
        <v>698.83500000000004</v>
      </c>
      <c r="V33" s="17">
        <v>528.48680000000002</v>
      </c>
    </row>
    <row r="34" spans="2:22" x14ac:dyDescent="0.25">
      <c r="B34" s="33">
        <v>12</v>
      </c>
      <c r="C34" s="16">
        <v>61785</v>
      </c>
      <c r="D34" s="16">
        <v>160.9605</v>
      </c>
      <c r="E34" s="16">
        <v>296.08859999999999</v>
      </c>
      <c r="F34" s="16">
        <v>266.44690000000003</v>
      </c>
      <c r="G34" s="16">
        <v>306.3152</v>
      </c>
      <c r="H34" s="16">
        <v>247.89109999999999</v>
      </c>
      <c r="I34" s="16">
        <v>278.71440000000001</v>
      </c>
      <c r="J34" s="16">
        <v>699.69680000000005</v>
      </c>
      <c r="K34" s="17">
        <v>529.89819999999997</v>
      </c>
      <c r="M34" s="36">
        <v>12</v>
      </c>
      <c r="N34" s="16">
        <v>20701</v>
      </c>
      <c r="O34" s="16">
        <v>136.8236</v>
      </c>
      <c r="P34" s="16">
        <v>176.48750000000001</v>
      </c>
      <c r="Q34" s="16">
        <v>149.71700000000001</v>
      </c>
      <c r="R34" s="16">
        <v>180.56020000000001</v>
      </c>
      <c r="S34" s="16">
        <v>144.2775</v>
      </c>
      <c r="T34" s="16">
        <v>161.05779999999999</v>
      </c>
      <c r="U34" s="16">
        <v>697.7876</v>
      </c>
      <c r="V34" s="17">
        <v>518.1377</v>
      </c>
    </row>
    <row r="35" spans="2:22" x14ac:dyDescent="0.25">
      <c r="B35" s="33">
        <v>24</v>
      </c>
      <c r="C35" s="16">
        <v>89667</v>
      </c>
      <c r="D35" s="16">
        <v>67.587770000000006</v>
      </c>
      <c r="E35" s="16">
        <v>351.17540000000002</v>
      </c>
      <c r="F35" s="16">
        <v>330.67340000000002</v>
      </c>
      <c r="G35" s="16">
        <v>365.45319999999998</v>
      </c>
      <c r="H35" s="16">
        <v>308.185</v>
      </c>
      <c r="I35" s="16">
        <v>334.94029999999998</v>
      </c>
      <c r="J35" s="16">
        <v>676.26819999999998</v>
      </c>
      <c r="K35" s="17">
        <v>540.73630000000003</v>
      </c>
      <c r="M35" s="36">
        <v>24</v>
      </c>
      <c r="N35" s="16">
        <v>25883</v>
      </c>
      <c r="O35" s="16">
        <v>107.50149999999999</v>
      </c>
      <c r="P35" s="16">
        <v>204.0924</v>
      </c>
      <c r="Q35" s="16">
        <v>161.93879999999999</v>
      </c>
      <c r="R35" s="16">
        <v>206.52600000000001</v>
      </c>
      <c r="S35" s="16">
        <v>160.3278</v>
      </c>
      <c r="T35" s="16">
        <v>179.81559999999999</v>
      </c>
      <c r="U35" s="16">
        <v>697.83749999999998</v>
      </c>
      <c r="V35" s="17">
        <v>532.59799999999996</v>
      </c>
    </row>
    <row r="36" spans="2:22" x14ac:dyDescent="0.25">
      <c r="B36" s="33">
        <v>36</v>
      </c>
      <c r="C36" s="16">
        <v>88710</v>
      </c>
      <c r="D36" s="16">
        <v>133.44049999999999</v>
      </c>
      <c r="E36" s="16">
        <v>358.72859999999997</v>
      </c>
      <c r="F36" s="16">
        <v>316.12049999999999</v>
      </c>
      <c r="G36" s="16">
        <v>374.99470000000002</v>
      </c>
      <c r="H36" s="16">
        <v>299.54629999999997</v>
      </c>
      <c r="I36" s="16">
        <v>334.57780000000002</v>
      </c>
      <c r="J36" s="16">
        <v>687.99929999999995</v>
      </c>
      <c r="K36" s="17">
        <v>539.99459999999999</v>
      </c>
      <c r="M36" s="36">
        <v>36</v>
      </c>
      <c r="N36" s="16">
        <v>32834</v>
      </c>
      <c r="O36" s="16">
        <v>142.33619999999999</v>
      </c>
      <c r="P36" s="16">
        <v>221.28630000000001</v>
      </c>
      <c r="Q36" s="16">
        <v>189.44399999999999</v>
      </c>
      <c r="R36" s="16">
        <v>224.53729999999999</v>
      </c>
      <c r="S36" s="16">
        <v>174.5222</v>
      </c>
      <c r="T36" s="16">
        <v>203.02019999999999</v>
      </c>
      <c r="U36" s="16">
        <v>698.38199999999995</v>
      </c>
      <c r="V36" s="17">
        <v>535.54759999999999</v>
      </c>
    </row>
    <row r="37" spans="2:22" x14ac:dyDescent="0.25">
      <c r="B37" s="33">
        <v>48</v>
      </c>
      <c r="C37" s="16">
        <v>88079</v>
      </c>
      <c r="D37" s="16">
        <v>146.50550000000001</v>
      </c>
      <c r="E37" s="16">
        <v>362.39870000000002</v>
      </c>
      <c r="F37" s="16">
        <v>310.22660000000002</v>
      </c>
      <c r="G37" s="16">
        <v>373.4622</v>
      </c>
      <c r="H37" s="16">
        <v>302.80360000000002</v>
      </c>
      <c r="I37" s="16">
        <v>332.9425</v>
      </c>
      <c r="J37" s="16">
        <v>695.79840000000002</v>
      </c>
      <c r="K37" s="17">
        <v>521.94420000000002</v>
      </c>
      <c r="M37" s="36">
        <v>48</v>
      </c>
      <c r="N37" s="16">
        <v>27372</v>
      </c>
      <c r="O37" s="16">
        <v>136.34569999999999</v>
      </c>
      <c r="P37" s="16">
        <v>210.1258</v>
      </c>
      <c r="Q37" s="16">
        <v>166.45439999999999</v>
      </c>
      <c r="R37" s="16">
        <v>209.95480000000001</v>
      </c>
      <c r="S37" s="16">
        <v>159.7655</v>
      </c>
      <c r="T37" s="16">
        <v>184.87450000000001</v>
      </c>
      <c r="U37" s="16">
        <v>709.32569999999998</v>
      </c>
      <c r="V37" s="17">
        <v>532.53880000000004</v>
      </c>
    </row>
    <row r="38" spans="2:22" x14ac:dyDescent="0.25">
      <c r="B38" s="32"/>
      <c r="K38" s="6"/>
      <c r="M38" s="35"/>
      <c r="V38" s="6"/>
    </row>
    <row r="39" spans="2:22" x14ac:dyDescent="0.25">
      <c r="B39" s="32" t="s">
        <v>71</v>
      </c>
      <c r="K39" s="6"/>
      <c r="M39" s="35" t="s">
        <v>72</v>
      </c>
      <c r="V39" s="6"/>
    </row>
    <row r="40" spans="2:22" x14ac:dyDescent="0.25">
      <c r="B40" s="32" t="s">
        <v>0</v>
      </c>
      <c r="C40" s="7" t="s">
        <v>3</v>
      </c>
      <c r="D40" s="7" t="s">
        <v>4</v>
      </c>
      <c r="E40" s="7" t="s">
        <v>5</v>
      </c>
      <c r="F40" s="7" t="s">
        <v>6</v>
      </c>
      <c r="G40" s="7" t="s">
        <v>7</v>
      </c>
      <c r="H40" s="7" t="s">
        <v>8</v>
      </c>
      <c r="I40" s="7" t="s">
        <v>9</v>
      </c>
      <c r="J40" s="7" t="s">
        <v>10</v>
      </c>
      <c r="K40" s="8" t="s">
        <v>11</v>
      </c>
      <c r="L40" s="7"/>
      <c r="M40" s="35" t="s">
        <v>0</v>
      </c>
      <c r="N40" s="7" t="s">
        <v>3</v>
      </c>
      <c r="O40" s="7" t="s">
        <v>4</v>
      </c>
      <c r="P40" s="7" t="s">
        <v>5</v>
      </c>
      <c r="Q40" s="7" t="s">
        <v>6</v>
      </c>
      <c r="R40" s="7" t="s">
        <v>7</v>
      </c>
      <c r="S40" s="7" t="s">
        <v>8</v>
      </c>
      <c r="T40" s="7" t="s">
        <v>9</v>
      </c>
      <c r="U40" s="7" t="s">
        <v>10</v>
      </c>
      <c r="V40" s="8" t="s">
        <v>11</v>
      </c>
    </row>
    <row r="41" spans="2:22" x14ac:dyDescent="0.25">
      <c r="B41" s="32">
        <v>0</v>
      </c>
      <c r="C41" s="2">
        <v>20771</v>
      </c>
      <c r="D41" s="2">
        <v>66.851209999999995</v>
      </c>
      <c r="E41" s="2">
        <v>171.1037</v>
      </c>
      <c r="F41" s="2">
        <v>155.03020000000001</v>
      </c>
      <c r="G41" s="2">
        <v>175.4109</v>
      </c>
      <c r="H41" s="2">
        <v>147.55680000000001</v>
      </c>
      <c r="I41" s="2">
        <v>161.29740000000001</v>
      </c>
      <c r="J41" s="2">
        <v>730.56489999999997</v>
      </c>
      <c r="K41" s="6">
        <v>517.68560000000002</v>
      </c>
      <c r="M41" s="35">
        <v>0</v>
      </c>
      <c r="N41" s="2">
        <v>4962</v>
      </c>
      <c r="O41" s="2">
        <v>114.3146</v>
      </c>
      <c r="P41" s="2">
        <v>85.250900000000001</v>
      </c>
      <c r="Q41" s="2">
        <v>74.690219999999997</v>
      </c>
      <c r="R41" s="2">
        <v>88.459029999999998</v>
      </c>
      <c r="S41" s="2">
        <v>71.119619999999998</v>
      </c>
      <c r="T41" s="2">
        <v>78.334190000000007</v>
      </c>
      <c r="U41" s="2">
        <v>735.38070000000005</v>
      </c>
      <c r="V41" s="6">
        <v>519.5376</v>
      </c>
    </row>
    <row r="42" spans="2:22" x14ac:dyDescent="0.25">
      <c r="B42" s="32">
        <v>12</v>
      </c>
      <c r="C42" s="2">
        <v>32188</v>
      </c>
      <c r="D42" s="2">
        <v>24.001519999999999</v>
      </c>
      <c r="E42" s="2">
        <v>210.3295</v>
      </c>
      <c r="F42" s="2">
        <v>195.512</v>
      </c>
      <c r="G42" s="2">
        <v>217.68100000000001</v>
      </c>
      <c r="H42" s="2">
        <v>183.74170000000001</v>
      </c>
      <c r="I42" s="2">
        <v>201.14830000000001</v>
      </c>
      <c r="J42" s="2">
        <v>713.53319999999997</v>
      </c>
      <c r="K42" s="6">
        <v>507.99560000000002</v>
      </c>
      <c r="M42" s="35">
        <v>12</v>
      </c>
      <c r="N42" s="2">
        <v>8002</v>
      </c>
      <c r="O42" s="2">
        <v>49.682960000000001</v>
      </c>
      <c r="P42" s="2">
        <v>108.62949999999999</v>
      </c>
      <c r="Q42" s="2">
        <v>94.413899999999998</v>
      </c>
      <c r="R42" s="2">
        <v>107.5639</v>
      </c>
      <c r="S42" s="2">
        <v>83.630129999999994</v>
      </c>
      <c r="T42" s="2">
        <v>99.662559999999999</v>
      </c>
      <c r="U42" s="2">
        <v>707.82259999999997</v>
      </c>
      <c r="V42" s="6">
        <v>522.65869999999995</v>
      </c>
    </row>
    <row r="43" spans="2:22" x14ac:dyDescent="0.25">
      <c r="B43" s="32">
        <v>24</v>
      </c>
      <c r="C43" s="2">
        <v>36056</v>
      </c>
      <c r="D43" s="2">
        <v>65.103870000000001</v>
      </c>
      <c r="E43" s="2">
        <v>222.85069999999999</v>
      </c>
      <c r="F43" s="2">
        <v>206.57069999999999</v>
      </c>
      <c r="G43" s="2">
        <v>231.24879999999999</v>
      </c>
      <c r="H43" s="2">
        <v>197.58539999999999</v>
      </c>
      <c r="I43" s="2">
        <v>212.94290000000001</v>
      </c>
      <c r="J43" s="2">
        <v>710.26880000000006</v>
      </c>
      <c r="K43" s="6">
        <v>527.69359999999995</v>
      </c>
      <c r="M43" s="35">
        <v>24</v>
      </c>
      <c r="N43" s="2">
        <v>10975</v>
      </c>
      <c r="O43" s="2">
        <v>59.866819999999997</v>
      </c>
      <c r="P43" s="2">
        <v>131.67060000000001</v>
      </c>
      <c r="Q43" s="2">
        <v>106.753</v>
      </c>
      <c r="R43" s="2">
        <v>131.244</v>
      </c>
      <c r="S43" s="2">
        <v>91.706050000000005</v>
      </c>
      <c r="T43" s="2">
        <v>116.66679999999999</v>
      </c>
      <c r="U43" s="2">
        <v>707.26340000000005</v>
      </c>
      <c r="V43" s="6">
        <v>531.03890000000001</v>
      </c>
    </row>
    <row r="44" spans="2:22" x14ac:dyDescent="0.25">
      <c r="B44" s="32">
        <v>36</v>
      </c>
      <c r="C44" s="2">
        <v>30645</v>
      </c>
      <c r="D44" s="2">
        <v>45.544469999999997</v>
      </c>
      <c r="E44" s="2">
        <v>204.8031</v>
      </c>
      <c r="F44" s="2">
        <v>191.13220000000001</v>
      </c>
      <c r="G44" s="2">
        <v>213.02109999999999</v>
      </c>
      <c r="H44" s="2">
        <v>181.46350000000001</v>
      </c>
      <c r="I44" s="2">
        <v>196.47219999999999</v>
      </c>
      <c r="J44" s="2">
        <v>711.78639999999996</v>
      </c>
      <c r="K44" s="6">
        <v>526.8845</v>
      </c>
      <c r="M44" s="35">
        <v>36</v>
      </c>
      <c r="N44" s="2">
        <v>7885</v>
      </c>
      <c r="O44" s="2">
        <v>14.366020000000001</v>
      </c>
      <c r="P44" s="2">
        <v>117.9913</v>
      </c>
      <c r="Q44" s="2">
        <v>86.297380000000004</v>
      </c>
      <c r="R44" s="2">
        <v>121.5936</v>
      </c>
      <c r="S44" s="2">
        <v>78.49203</v>
      </c>
      <c r="T44" s="2">
        <v>98.296459999999996</v>
      </c>
      <c r="U44" s="2">
        <v>695.08609999999999</v>
      </c>
      <c r="V44" s="6">
        <v>530.55470000000003</v>
      </c>
    </row>
    <row r="45" spans="2:22" x14ac:dyDescent="0.25">
      <c r="B45" s="32">
        <v>48</v>
      </c>
      <c r="C45" s="2">
        <v>29368</v>
      </c>
      <c r="D45" s="2">
        <v>71.888540000000006</v>
      </c>
      <c r="E45" s="2">
        <v>202.96090000000001</v>
      </c>
      <c r="F45" s="2">
        <v>184.51990000000001</v>
      </c>
      <c r="G45" s="2">
        <v>204.00980000000001</v>
      </c>
      <c r="H45" s="2">
        <v>174.02590000000001</v>
      </c>
      <c r="I45" s="2">
        <v>192.06100000000001</v>
      </c>
      <c r="J45" s="2">
        <v>713.06449999999995</v>
      </c>
      <c r="K45" s="6">
        <v>527.42960000000005</v>
      </c>
      <c r="M45" s="35">
        <v>48</v>
      </c>
      <c r="N45" s="2">
        <v>9695</v>
      </c>
      <c r="O45" s="2">
        <v>52.022440000000003</v>
      </c>
      <c r="P45" s="2">
        <v>128.75489999999999</v>
      </c>
      <c r="Q45" s="2">
        <v>96.729609999999994</v>
      </c>
      <c r="R45" s="2">
        <v>128.70509999999999</v>
      </c>
      <c r="S45" s="2">
        <v>82.927679999999995</v>
      </c>
      <c r="T45" s="2">
        <v>109.1215</v>
      </c>
      <c r="U45" s="2">
        <v>700.67859999999996</v>
      </c>
      <c r="V45" s="6">
        <v>529.87929999999994</v>
      </c>
    </row>
    <row r="46" spans="2:22" x14ac:dyDescent="0.25">
      <c r="B46" s="32"/>
      <c r="K46" s="6"/>
      <c r="M46" s="35"/>
      <c r="V46" s="6"/>
    </row>
    <row r="47" spans="2:22" x14ac:dyDescent="0.25">
      <c r="B47" s="5" t="s">
        <v>52</v>
      </c>
      <c r="C47" s="10">
        <v>42633</v>
      </c>
      <c r="K47" s="6"/>
      <c r="M47" s="35"/>
      <c r="V47" s="6"/>
    </row>
    <row r="48" spans="2:22" x14ac:dyDescent="0.25">
      <c r="B48" s="32"/>
      <c r="K48" s="6"/>
      <c r="M48" s="35"/>
      <c r="V48" s="6"/>
    </row>
    <row r="49" spans="2:22" x14ac:dyDescent="0.25">
      <c r="B49" s="33" t="s">
        <v>1</v>
      </c>
      <c r="C49" s="16"/>
      <c r="D49" s="16"/>
      <c r="E49" s="16"/>
      <c r="F49" s="16"/>
      <c r="G49" s="16"/>
      <c r="H49" s="16"/>
      <c r="I49" s="16"/>
      <c r="J49" s="16"/>
      <c r="K49" s="17"/>
      <c r="M49" s="36" t="s">
        <v>2</v>
      </c>
      <c r="N49" s="16"/>
      <c r="O49" s="16"/>
      <c r="P49" s="16"/>
      <c r="Q49" s="16"/>
      <c r="R49" s="16"/>
      <c r="S49" s="16"/>
      <c r="T49" s="16"/>
      <c r="U49" s="16"/>
      <c r="V49" s="17"/>
    </row>
    <row r="50" spans="2:22" x14ac:dyDescent="0.25">
      <c r="B50" s="33" t="s">
        <v>0</v>
      </c>
      <c r="C50" s="19" t="s">
        <v>3</v>
      </c>
      <c r="D50" s="19" t="s">
        <v>4</v>
      </c>
      <c r="E50" s="19" t="s">
        <v>5</v>
      </c>
      <c r="F50" s="19" t="s">
        <v>6</v>
      </c>
      <c r="G50" s="19" t="s">
        <v>7</v>
      </c>
      <c r="H50" s="19" t="s">
        <v>8</v>
      </c>
      <c r="I50" s="19" t="s">
        <v>9</v>
      </c>
      <c r="J50" s="19" t="s">
        <v>10</v>
      </c>
      <c r="K50" s="20" t="s">
        <v>11</v>
      </c>
      <c r="L50" s="7"/>
      <c r="M50" s="36" t="s">
        <v>0</v>
      </c>
      <c r="N50" s="19" t="s">
        <v>3</v>
      </c>
      <c r="O50" s="19" t="s">
        <v>4</v>
      </c>
      <c r="P50" s="19" t="s">
        <v>5</v>
      </c>
      <c r="Q50" s="19" t="s">
        <v>6</v>
      </c>
      <c r="R50" s="19" t="s">
        <v>7</v>
      </c>
      <c r="S50" s="19" t="s">
        <v>8</v>
      </c>
      <c r="T50" s="19" t="s">
        <v>9</v>
      </c>
      <c r="U50" s="19" t="s">
        <v>10</v>
      </c>
      <c r="V50" s="20" t="s">
        <v>11</v>
      </c>
    </row>
    <row r="51" spans="2:22" x14ac:dyDescent="0.25">
      <c r="B51" s="33">
        <v>0</v>
      </c>
      <c r="C51" s="16">
        <v>5822</v>
      </c>
      <c r="D51" s="16">
        <v>37.120510000000003</v>
      </c>
      <c r="E51" s="16">
        <v>97.761340000000004</v>
      </c>
      <c r="F51" s="16">
        <v>76.086979999999997</v>
      </c>
      <c r="G51" s="16">
        <v>101.25709999999999</v>
      </c>
      <c r="H51" s="16">
        <v>74.518460000000005</v>
      </c>
      <c r="I51" s="16">
        <v>84.721010000000007</v>
      </c>
      <c r="J51" s="16">
        <v>608.37869999999998</v>
      </c>
      <c r="K51" s="17">
        <v>522.38</v>
      </c>
      <c r="M51" s="36">
        <v>0</v>
      </c>
      <c r="N51" s="16">
        <v>2927</v>
      </c>
      <c r="O51" s="16">
        <v>30.32638</v>
      </c>
      <c r="P51" s="16">
        <v>69.165530000000004</v>
      </c>
      <c r="Q51" s="16">
        <v>55.230379999999997</v>
      </c>
      <c r="R51" s="16">
        <v>74.249579999999995</v>
      </c>
      <c r="S51" s="16">
        <v>46.097720000000002</v>
      </c>
      <c r="T51" s="16">
        <v>59.912019999999998</v>
      </c>
      <c r="U51" s="16">
        <v>611.85</v>
      </c>
      <c r="V51" s="17">
        <v>517.12049999999999</v>
      </c>
    </row>
    <row r="52" spans="2:22" x14ac:dyDescent="0.25">
      <c r="B52" s="33">
        <v>12</v>
      </c>
      <c r="C52" s="16">
        <v>8481</v>
      </c>
      <c r="D52" s="16">
        <v>112.78</v>
      </c>
      <c r="E52" s="16">
        <v>111.10550000000001</v>
      </c>
      <c r="F52" s="16">
        <v>97.825400000000002</v>
      </c>
      <c r="G52" s="16">
        <v>111.5213</v>
      </c>
      <c r="H52" s="16">
        <v>88.865070000000003</v>
      </c>
      <c r="I52" s="16">
        <v>102.58799999999999</v>
      </c>
      <c r="J52" s="16">
        <v>634.92690000000005</v>
      </c>
      <c r="K52" s="17">
        <v>520.44489999999996</v>
      </c>
      <c r="M52" s="36">
        <v>12</v>
      </c>
      <c r="N52" s="16">
        <v>3100</v>
      </c>
      <c r="O52" s="16">
        <v>113.05249999999999</v>
      </c>
      <c r="P52" s="16">
        <v>65.328990000000005</v>
      </c>
      <c r="Q52" s="16">
        <v>61.597859999999997</v>
      </c>
      <c r="R52" s="16">
        <v>69.115840000000006</v>
      </c>
      <c r="S52" s="16">
        <v>53</v>
      </c>
      <c r="T52" s="16">
        <v>61.549529999999997</v>
      </c>
      <c r="U52" s="16">
        <v>633.47090000000003</v>
      </c>
      <c r="V52" s="17">
        <v>518.81870000000004</v>
      </c>
    </row>
    <row r="53" spans="2:22" x14ac:dyDescent="0.25">
      <c r="B53" s="33">
        <v>24</v>
      </c>
      <c r="C53" s="16">
        <v>10727</v>
      </c>
      <c r="D53" s="16">
        <v>45.647379999999998</v>
      </c>
      <c r="E53" s="16">
        <v>126.0714</v>
      </c>
      <c r="F53" s="16">
        <v>110.1581</v>
      </c>
      <c r="G53" s="16">
        <v>144.97239999999999</v>
      </c>
      <c r="H53" s="16">
        <v>101.9804</v>
      </c>
      <c r="I53" s="16">
        <v>115.19370000000001</v>
      </c>
      <c r="J53" s="16">
        <v>633.28219999999999</v>
      </c>
      <c r="K53" s="17">
        <v>534.06650000000002</v>
      </c>
      <c r="M53" s="36">
        <v>24</v>
      </c>
      <c r="N53" s="16">
        <v>4476</v>
      </c>
      <c r="O53" s="16">
        <v>136.85339999999999</v>
      </c>
      <c r="P53" s="16">
        <v>78.852549999999994</v>
      </c>
      <c r="Q53" s="16">
        <v>72.928120000000007</v>
      </c>
      <c r="R53" s="16">
        <v>85.440039999999996</v>
      </c>
      <c r="S53" s="16">
        <v>67.623959999999997</v>
      </c>
      <c r="T53" s="16">
        <v>74.150440000000003</v>
      </c>
      <c r="U53" s="16">
        <v>632.11990000000003</v>
      </c>
      <c r="V53" s="17">
        <v>526.12540000000001</v>
      </c>
    </row>
    <row r="54" spans="2:22" x14ac:dyDescent="0.25">
      <c r="B54" s="33">
        <v>36</v>
      </c>
      <c r="C54" s="16">
        <v>12269</v>
      </c>
      <c r="D54" s="16">
        <v>69.609679999999997</v>
      </c>
      <c r="E54" s="16">
        <v>132.08019999999999</v>
      </c>
      <c r="F54" s="16">
        <v>120.47320000000001</v>
      </c>
      <c r="G54" s="16">
        <v>151.34729999999999</v>
      </c>
      <c r="H54" s="16">
        <v>102.59139999999999</v>
      </c>
      <c r="I54" s="16">
        <v>122.9408</v>
      </c>
      <c r="J54" s="16">
        <v>627.64</v>
      </c>
      <c r="K54" s="17">
        <v>499.30360000000002</v>
      </c>
      <c r="M54" s="36">
        <v>36</v>
      </c>
      <c r="N54" s="16">
        <v>4255</v>
      </c>
      <c r="O54" s="16">
        <v>156.54589999999999</v>
      </c>
      <c r="P54" s="16">
        <v>78.106859999999998</v>
      </c>
      <c r="Q54" s="16">
        <v>70.614930000000001</v>
      </c>
      <c r="R54" s="16">
        <v>82.63776</v>
      </c>
      <c r="S54" s="16">
        <v>58.249459999999999</v>
      </c>
      <c r="T54" s="16">
        <v>71.975880000000004</v>
      </c>
      <c r="U54" s="16">
        <v>626.13900000000001</v>
      </c>
      <c r="V54" s="17">
        <v>489.45519999999999</v>
      </c>
    </row>
    <row r="55" spans="2:22" x14ac:dyDescent="0.25">
      <c r="B55" s="33">
        <v>48</v>
      </c>
      <c r="C55" s="16">
        <v>15543</v>
      </c>
      <c r="D55" s="16">
        <v>81.847070000000002</v>
      </c>
      <c r="E55" s="16">
        <v>146.02109999999999</v>
      </c>
      <c r="F55" s="16">
        <v>136.739</v>
      </c>
      <c r="G55" s="16">
        <v>151.32079999999999</v>
      </c>
      <c r="H55" s="16">
        <v>126.2418</v>
      </c>
      <c r="I55" s="16">
        <v>139.29830000000001</v>
      </c>
      <c r="J55" s="16">
        <v>624.16279999999995</v>
      </c>
      <c r="K55" s="17">
        <v>498.04660000000001</v>
      </c>
      <c r="M55" s="36">
        <v>48</v>
      </c>
      <c r="N55" s="16">
        <v>4932</v>
      </c>
      <c r="O55" s="16">
        <v>162.01910000000001</v>
      </c>
      <c r="P55" s="16">
        <v>83.348420000000004</v>
      </c>
      <c r="Q55" s="16">
        <v>76.377080000000007</v>
      </c>
      <c r="R55" s="16">
        <v>88.005679999999998</v>
      </c>
      <c r="S55" s="16">
        <v>66.708320000000001</v>
      </c>
      <c r="T55" s="16">
        <v>77.825479999999999</v>
      </c>
      <c r="U55" s="16">
        <v>624.46389999999997</v>
      </c>
      <c r="V55" s="17">
        <v>490.26850000000002</v>
      </c>
    </row>
    <row r="56" spans="2:22" x14ac:dyDescent="0.25">
      <c r="B56" s="32"/>
      <c r="K56" s="6"/>
      <c r="M56" s="35"/>
      <c r="V56" s="6"/>
    </row>
    <row r="57" spans="2:22" x14ac:dyDescent="0.25">
      <c r="B57" s="32" t="s">
        <v>12</v>
      </c>
      <c r="K57" s="6"/>
      <c r="M57" s="35" t="s">
        <v>13</v>
      </c>
      <c r="V57" s="6"/>
    </row>
    <row r="58" spans="2:22" x14ac:dyDescent="0.25">
      <c r="B58" s="32" t="s">
        <v>0</v>
      </c>
      <c r="C58" s="7" t="s">
        <v>3</v>
      </c>
      <c r="D58" s="7" t="s">
        <v>4</v>
      </c>
      <c r="E58" s="7" t="s">
        <v>5</v>
      </c>
      <c r="F58" s="7" t="s">
        <v>6</v>
      </c>
      <c r="G58" s="7" t="s">
        <v>7</v>
      </c>
      <c r="H58" s="7" t="s">
        <v>8</v>
      </c>
      <c r="I58" s="7" t="s">
        <v>9</v>
      </c>
      <c r="J58" s="7" t="s">
        <v>10</v>
      </c>
      <c r="K58" s="8" t="s">
        <v>11</v>
      </c>
      <c r="L58" s="7"/>
      <c r="M58" s="35" t="s">
        <v>0</v>
      </c>
      <c r="N58" s="7" t="s">
        <v>3</v>
      </c>
      <c r="O58" s="7" t="s">
        <v>4</v>
      </c>
      <c r="P58" s="7" t="s">
        <v>5</v>
      </c>
      <c r="Q58" s="7" t="s">
        <v>6</v>
      </c>
      <c r="R58" s="7" t="s">
        <v>7</v>
      </c>
      <c r="S58" s="7" t="s">
        <v>8</v>
      </c>
      <c r="T58" s="7" t="s">
        <v>9</v>
      </c>
      <c r="U58" s="7" t="s">
        <v>10</v>
      </c>
      <c r="V58" s="8" t="s">
        <v>11</v>
      </c>
    </row>
    <row r="59" spans="2:22" x14ac:dyDescent="0.25">
      <c r="B59" s="32">
        <v>0</v>
      </c>
      <c r="C59" s="2">
        <v>10340</v>
      </c>
      <c r="D59" s="2">
        <v>96.266919999999999</v>
      </c>
      <c r="E59" s="2">
        <v>122.0912</v>
      </c>
      <c r="F59" s="2">
        <v>108.09869999999999</v>
      </c>
      <c r="G59" s="2">
        <v>123.065</v>
      </c>
      <c r="H59" s="2">
        <v>103.00490000000001</v>
      </c>
      <c r="I59" s="2">
        <v>113.6067</v>
      </c>
      <c r="J59" s="2">
        <v>639.19510000000002</v>
      </c>
      <c r="K59" s="6">
        <v>481.25900000000001</v>
      </c>
      <c r="M59" s="35">
        <v>0</v>
      </c>
      <c r="N59" s="2">
        <v>3214</v>
      </c>
      <c r="O59" s="2">
        <v>169.59559999999999</v>
      </c>
      <c r="P59" s="2">
        <v>71.321309999999997</v>
      </c>
      <c r="Q59" s="2">
        <v>59.009509999999999</v>
      </c>
      <c r="R59" s="2">
        <v>77.201030000000003</v>
      </c>
      <c r="S59" s="2">
        <v>51.039200000000001</v>
      </c>
      <c r="T59" s="2">
        <v>62.728209999999997</v>
      </c>
      <c r="U59" s="2">
        <v>632.23289999999997</v>
      </c>
      <c r="V59" s="6">
        <v>485.9271</v>
      </c>
    </row>
    <row r="60" spans="2:22" x14ac:dyDescent="0.25">
      <c r="B60" s="32">
        <v>12</v>
      </c>
      <c r="C60" s="2">
        <v>12410</v>
      </c>
      <c r="D60" s="2">
        <v>68.305419999999998</v>
      </c>
      <c r="E60" s="2">
        <v>136.9392</v>
      </c>
      <c r="F60" s="2">
        <v>115.85469999999999</v>
      </c>
      <c r="G60" s="2">
        <v>145.77379999999999</v>
      </c>
      <c r="H60" s="2">
        <v>110.25879999999999</v>
      </c>
      <c r="I60" s="2">
        <v>124.2432</v>
      </c>
      <c r="J60" s="2">
        <v>666.7903</v>
      </c>
      <c r="K60" s="6">
        <v>505.86799999999999</v>
      </c>
      <c r="M60" s="35">
        <v>12</v>
      </c>
      <c r="N60" s="2">
        <v>3844</v>
      </c>
      <c r="O60" s="2">
        <v>175.67570000000001</v>
      </c>
      <c r="P60" s="2">
        <v>78.820689999999999</v>
      </c>
      <c r="Q60" s="2">
        <v>63.355269999999997</v>
      </c>
      <c r="R60" s="2">
        <v>78.771820000000005</v>
      </c>
      <c r="S60" s="2">
        <v>53.93515</v>
      </c>
      <c r="T60" s="2">
        <v>68.13288</v>
      </c>
      <c r="U60" s="2">
        <v>659.97630000000004</v>
      </c>
      <c r="V60" s="6">
        <v>504.24979999999999</v>
      </c>
    </row>
    <row r="61" spans="2:22" x14ac:dyDescent="0.25">
      <c r="B61" s="32">
        <v>24</v>
      </c>
      <c r="C61" s="2">
        <v>15352</v>
      </c>
      <c r="D61" s="2">
        <v>76.383399999999995</v>
      </c>
      <c r="E61" s="2">
        <v>148.81700000000001</v>
      </c>
      <c r="F61" s="2">
        <v>132.01240000000001</v>
      </c>
      <c r="G61" s="2">
        <v>159.90620000000001</v>
      </c>
      <c r="H61" s="2">
        <v>127.01179999999999</v>
      </c>
      <c r="I61" s="2">
        <v>138.41030000000001</v>
      </c>
      <c r="J61" s="2">
        <v>667.22329999999999</v>
      </c>
      <c r="K61" s="6">
        <v>547.18039999999996</v>
      </c>
      <c r="M61" s="35">
        <v>24</v>
      </c>
      <c r="N61" s="2">
        <v>4772</v>
      </c>
      <c r="O61" s="2">
        <v>87.662999999999997</v>
      </c>
      <c r="P61" s="2">
        <v>82.863029999999995</v>
      </c>
      <c r="Q61" s="2">
        <v>73.744119999999995</v>
      </c>
      <c r="R61" s="2">
        <v>84.214010000000002</v>
      </c>
      <c r="S61" s="2">
        <v>69</v>
      </c>
      <c r="T61" s="2">
        <v>76.80762</v>
      </c>
      <c r="U61" s="2">
        <v>666.35159999999996</v>
      </c>
      <c r="V61" s="6">
        <v>544.09529999999995</v>
      </c>
    </row>
    <row r="62" spans="2:22" x14ac:dyDescent="0.25">
      <c r="B62" s="32">
        <v>36</v>
      </c>
      <c r="C62" s="2">
        <v>16810</v>
      </c>
      <c r="D62" s="2">
        <v>81.497159999999994</v>
      </c>
      <c r="E62" s="2">
        <v>156.1275</v>
      </c>
      <c r="F62" s="2">
        <v>137.7466</v>
      </c>
      <c r="G62" s="2">
        <v>165.97890000000001</v>
      </c>
      <c r="H62" s="2">
        <v>133.37540000000001</v>
      </c>
      <c r="I62" s="2">
        <v>144.7003</v>
      </c>
      <c r="J62" s="2">
        <v>645.81510000000003</v>
      </c>
      <c r="K62" s="6">
        <v>406.22340000000003</v>
      </c>
      <c r="M62" s="35">
        <v>36</v>
      </c>
      <c r="N62" s="2">
        <v>6908</v>
      </c>
      <c r="O62" s="2">
        <v>103.0181</v>
      </c>
      <c r="P62" s="2">
        <v>96.448980000000006</v>
      </c>
      <c r="Q62" s="2">
        <v>93.350719999999995</v>
      </c>
      <c r="R62" s="2">
        <v>105.38500000000001</v>
      </c>
      <c r="S62" s="2">
        <v>79.120159999999998</v>
      </c>
      <c r="T62" s="2">
        <v>91.927379999999999</v>
      </c>
      <c r="U62" s="2">
        <v>643.91189999999995</v>
      </c>
      <c r="V62" s="6">
        <v>400.74950000000001</v>
      </c>
    </row>
    <row r="63" spans="2:22" x14ac:dyDescent="0.25">
      <c r="B63" s="32">
        <v>48</v>
      </c>
      <c r="C63" s="2">
        <v>17843</v>
      </c>
      <c r="D63" s="2">
        <v>79.65361</v>
      </c>
      <c r="E63" s="2">
        <v>160.7296</v>
      </c>
      <c r="F63" s="2">
        <v>141.83670000000001</v>
      </c>
      <c r="G63" s="2">
        <v>172.56880000000001</v>
      </c>
      <c r="H63" s="2">
        <v>136.6199</v>
      </c>
      <c r="I63" s="2">
        <v>149.40629999999999</v>
      </c>
      <c r="J63" s="2">
        <v>650.50099999999998</v>
      </c>
      <c r="K63" s="6">
        <v>485.4871</v>
      </c>
      <c r="M63" s="35">
        <v>48</v>
      </c>
      <c r="N63" s="2">
        <v>7519</v>
      </c>
      <c r="O63" s="2">
        <v>65.480459999999994</v>
      </c>
      <c r="P63" s="2">
        <v>108.0339</v>
      </c>
      <c r="Q63" s="2">
        <v>91.858019999999996</v>
      </c>
      <c r="R63" s="2">
        <v>111.6109</v>
      </c>
      <c r="S63" s="2">
        <v>82.73451</v>
      </c>
      <c r="T63" s="2">
        <v>95.718069999999997</v>
      </c>
      <c r="U63" s="2">
        <v>650.08789999999999</v>
      </c>
      <c r="V63" s="6">
        <v>478.56670000000003</v>
      </c>
    </row>
    <row r="64" spans="2:22" x14ac:dyDescent="0.25">
      <c r="B64" s="32"/>
      <c r="K64" s="6"/>
      <c r="M64" s="35"/>
      <c r="V64" s="6"/>
    </row>
    <row r="65" spans="2:22" x14ac:dyDescent="0.25">
      <c r="B65" s="33" t="s">
        <v>14</v>
      </c>
      <c r="C65" s="16"/>
      <c r="D65" s="16"/>
      <c r="E65" s="16"/>
      <c r="F65" s="16"/>
      <c r="G65" s="16"/>
      <c r="H65" s="16"/>
      <c r="I65" s="16"/>
      <c r="J65" s="16"/>
      <c r="K65" s="17"/>
      <c r="M65" s="36" t="s">
        <v>15</v>
      </c>
      <c r="N65" s="16"/>
      <c r="O65" s="16"/>
      <c r="P65" s="16"/>
      <c r="Q65" s="16"/>
      <c r="R65" s="16"/>
      <c r="S65" s="16"/>
      <c r="T65" s="16"/>
      <c r="U65" s="16"/>
      <c r="V65" s="17"/>
    </row>
    <row r="66" spans="2:22" x14ac:dyDescent="0.25">
      <c r="B66" s="33" t="s">
        <v>0</v>
      </c>
      <c r="C66" s="19" t="s">
        <v>3</v>
      </c>
      <c r="D66" s="19" t="s">
        <v>4</v>
      </c>
      <c r="E66" s="19" t="s">
        <v>5</v>
      </c>
      <c r="F66" s="19" t="s">
        <v>6</v>
      </c>
      <c r="G66" s="19" t="s">
        <v>7</v>
      </c>
      <c r="H66" s="19" t="s">
        <v>8</v>
      </c>
      <c r="I66" s="19" t="s">
        <v>9</v>
      </c>
      <c r="J66" s="19" t="s">
        <v>10</v>
      </c>
      <c r="K66" s="20" t="s">
        <v>11</v>
      </c>
      <c r="L66" s="7"/>
      <c r="M66" s="36" t="s">
        <v>0</v>
      </c>
      <c r="N66" s="19" t="s">
        <v>3</v>
      </c>
      <c r="O66" s="19" t="s">
        <v>4</v>
      </c>
      <c r="P66" s="19" t="s">
        <v>5</v>
      </c>
      <c r="Q66" s="19" t="s">
        <v>6</v>
      </c>
      <c r="R66" s="19" t="s">
        <v>7</v>
      </c>
      <c r="S66" s="19" t="s">
        <v>8</v>
      </c>
      <c r="T66" s="19" t="s">
        <v>9</v>
      </c>
      <c r="U66" s="19" t="s">
        <v>10</v>
      </c>
      <c r="V66" s="20" t="s">
        <v>11</v>
      </c>
    </row>
    <row r="67" spans="2:22" x14ac:dyDescent="0.25">
      <c r="B67" s="33">
        <v>0</v>
      </c>
      <c r="C67" s="16">
        <v>15016</v>
      </c>
      <c r="D67" s="16">
        <v>115.2709</v>
      </c>
      <c r="E67" s="16">
        <v>139.84739999999999</v>
      </c>
      <c r="F67" s="16">
        <v>136.96610000000001</v>
      </c>
      <c r="G67" s="16">
        <v>145.34440000000001</v>
      </c>
      <c r="H67" s="16">
        <v>127.0039</v>
      </c>
      <c r="I67" s="16">
        <v>137.22720000000001</v>
      </c>
      <c r="J67" s="16">
        <v>625.75779999999997</v>
      </c>
      <c r="K67" s="17">
        <v>531.53229999999996</v>
      </c>
      <c r="M67" s="36">
        <v>0</v>
      </c>
      <c r="N67" s="16">
        <v>5068</v>
      </c>
      <c r="O67" s="16">
        <v>42.532890000000002</v>
      </c>
      <c r="P67" s="16">
        <v>95.981390000000005</v>
      </c>
      <c r="Q67" s="16">
        <v>69.328729999999993</v>
      </c>
      <c r="R67" s="16">
        <v>96.840069999999997</v>
      </c>
      <c r="S67" s="16">
        <v>52.392749999999999</v>
      </c>
      <c r="T67" s="16">
        <v>77.895319999999998</v>
      </c>
      <c r="U67" s="16">
        <v>619.38400000000001</v>
      </c>
      <c r="V67" s="17">
        <v>534.88009999999997</v>
      </c>
    </row>
    <row r="68" spans="2:22" x14ac:dyDescent="0.25">
      <c r="B68" s="33">
        <v>12</v>
      </c>
      <c r="C68" s="16">
        <v>18311</v>
      </c>
      <c r="D68" s="16">
        <v>165.07810000000001</v>
      </c>
      <c r="E68" s="16">
        <v>154.57660000000001</v>
      </c>
      <c r="F68" s="16">
        <v>151.09710000000001</v>
      </c>
      <c r="G68" s="16">
        <v>160.95339999999999</v>
      </c>
      <c r="H68" s="16">
        <v>145.7841</v>
      </c>
      <c r="I68" s="16">
        <v>151.5797</v>
      </c>
      <c r="J68" s="16">
        <v>659.1078</v>
      </c>
      <c r="K68" s="17">
        <v>540.86850000000004</v>
      </c>
      <c r="M68" s="36">
        <v>12</v>
      </c>
      <c r="N68" s="16">
        <v>5094</v>
      </c>
      <c r="O68" s="16">
        <v>155.91759999999999</v>
      </c>
      <c r="P68" s="16">
        <v>96.410769999999999</v>
      </c>
      <c r="Q68" s="16">
        <v>69.857219999999998</v>
      </c>
      <c r="R68" s="16">
        <v>100.8464</v>
      </c>
      <c r="S68" s="16">
        <v>55.326309999999999</v>
      </c>
      <c r="T68" s="16">
        <v>77.573660000000004</v>
      </c>
      <c r="U68" s="16">
        <v>649.44799999999998</v>
      </c>
      <c r="V68" s="17">
        <v>549.19389999999999</v>
      </c>
    </row>
    <row r="69" spans="2:22" x14ac:dyDescent="0.25">
      <c r="B69" s="33">
        <v>24</v>
      </c>
      <c r="C69" s="16">
        <v>27310</v>
      </c>
      <c r="D69" s="16">
        <v>89.214160000000007</v>
      </c>
      <c r="E69" s="16">
        <v>190.9915</v>
      </c>
      <c r="F69" s="16">
        <v>183.09649999999999</v>
      </c>
      <c r="G69" s="16">
        <v>204.5532</v>
      </c>
      <c r="H69" s="16">
        <v>171.96510000000001</v>
      </c>
      <c r="I69" s="16">
        <v>185.36709999999999</v>
      </c>
      <c r="J69" s="16">
        <v>664.66610000000003</v>
      </c>
      <c r="K69" s="17">
        <v>540.69129999999996</v>
      </c>
      <c r="M69" s="36">
        <v>24</v>
      </c>
      <c r="N69" s="16">
        <v>9007</v>
      </c>
      <c r="O69" s="16">
        <v>169.6968</v>
      </c>
      <c r="P69" s="16">
        <v>121.1022</v>
      </c>
      <c r="Q69" s="16">
        <v>95.0929</v>
      </c>
      <c r="R69" s="16">
        <v>121.5977</v>
      </c>
      <c r="S69" s="16">
        <v>90.520709999999994</v>
      </c>
      <c r="T69" s="16">
        <v>105.46299999999999</v>
      </c>
      <c r="U69" s="16">
        <v>663.08749999999998</v>
      </c>
      <c r="V69" s="17">
        <v>538.96420000000001</v>
      </c>
    </row>
    <row r="70" spans="2:22" x14ac:dyDescent="0.25">
      <c r="B70" s="33">
        <v>36</v>
      </c>
      <c r="C70" s="16">
        <v>27340</v>
      </c>
      <c r="D70" s="16">
        <v>50.743229999999997</v>
      </c>
      <c r="E70" s="16">
        <v>188.36269999999999</v>
      </c>
      <c r="F70" s="16">
        <v>185.49440000000001</v>
      </c>
      <c r="G70" s="16">
        <v>208.00239999999999</v>
      </c>
      <c r="H70" s="16">
        <v>172.73390000000001</v>
      </c>
      <c r="I70" s="16">
        <v>185.30199999999999</v>
      </c>
      <c r="J70" s="16">
        <v>685.30899999999997</v>
      </c>
      <c r="K70" s="17">
        <v>518.97469999999998</v>
      </c>
      <c r="M70" s="36">
        <v>36</v>
      </c>
      <c r="N70" s="16">
        <v>10164</v>
      </c>
      <c r="O70" s="16">
        <v>161.72040000000001</v>
      </c>
      <c r="P70" s="16">
        <v>122.6918</v>
      </c>
      <c r="Q70" s="16">
        <v>107.0421</v>
      </c>
      <c r="R70" s="16">
        <v>131.7346</v>
      </c>
      <c r="S70" s="16">
        <v>90.824010000000001</v>
      </c>
      <c r="T70" s="16">
        <v>112.0278</v>
      </c>
      <c r="U70" s="16">
        <v>675.29430000000002</v>
      </c>
      <c r="V70" s="17">
        <v>521.13419999999996</v>
      </c>
    </row>
    <row r="71" spans="2:22" x14ac:dyDescent="0.25">
      <c r="B71" s="33">
        <v>48</v>
      </c>
      <c r="C71" s="16">
        <v>28498</v>
      </c>
      <c r="D71" s="16">
        <v>12.038349999999999</v>
      </c>
      <c r="E71" s="16">
        <v>192.16579999999999</v>
      </c>
      <c r="F71" s="16">
        <v>189.61250000000001</v>
      </c>
      <c r="G71" s="16">
        <v>205.97329999999999</v>
      </c>
      <c r="H71" s="16">
        <v>178.8323</v>
      </c>
      <c r="I71" s="16">
        <v>188.99289999999999</v>
      </c>
      <c r="J71" s="16">
        <v>680.23440000000005</v>
      </c>
      <c r="K71" s="17">
        <v>523.08050000000003</v>
      </c>
      <c r="M71" s="36">
        <v>48</v>
      </c>
      <c r="N71" s="16">
        <v>9463</v>
      </c>
      <c r="O71" s="16">
        <v>28.2118</v>
      </c>
      <c r="P71" s="16">
        <v>137.27809999999999</v>
      </c>
      <c r="Q71" s="16">
        <v>91.112930000000006</v>
      </c>
      <c r="R71" s="16">
        <v>138.398</v>
      </c>
      <c r="S71" s="16">
        <v>73.824110000000005</v>
      </c>
      <c r="T71" s="16">
        <v>106.1477</v>
      </c>
      <c r="U71" s="16">
        <v>675.12279999999998</v>
      </c>
      <c r="V71" s="17">
        <v>516.4778</v>
      </c>
    </row>
    <row r="72" spans="2:22" x14ac:dyDescent="0.25">
      <c r="B72" s="32"/>
      <c r="K72" s="6"/>
      <c r="M72" s="35"/>
      <c r="V72" s="6"/>
    </row>
    <row r="73" spans="2:22" x14ac:dyDescent="0.25">
      <c r="B73" s="32" t="s">
        <v>16</v>
      </c>
      <c r="K73" s="6"/>
      <c r="M73" s="35" t="s">
        <v>17</v>
      </c>
      <c r="V73" s="6"/>
    </row>
    <row r="74" spans="2:22" x14ac:dyDescent="0.25">
      <c r="B74" s="32" t="s">
        <v>0</v>
      </c>
      <c r="C74" s="7" t="s">
        <v>3</v>
      </c>
      <c r="D74" s="7" t="s">
        <v>4</v>
      </c>
      <c r="E74" s="7" t="s">
        <v>5</v>
      </c>
      <c r="F74" s="7" t="s">
        <v>6</v>
      </c>
      <c r="G74" s="7" t="s">
        <v>7</v>
      </c>
      <c r="H74" s="7" t="s">
        <v>8</v>
      </c>
      <c r="I74" s="7" t="s">
        <v>9</v>
      </c>
      <c r="J74" s="7" t="s">
        <v>10</v>
      </c>
      <c r="K74" s="8" t="s">
        <v>11</v>
      </c>
      <c r="L74" s="7"/>
      <c r="M74" s="35" t="s">
        <v>0</v>
      </c>
      <c r="N74" s="7" t="s">
        <v>3</v>
      </c>
      <c r="O74" s="7" t="s">
        <v>4</v>
      </c>
      <c r="P74" s="7" t="s">
        <v>5</v>
      </c>
      <c r="Q74" s="7" t="s">
        <v>6</v>
      </c>
      <c r="R74" s="7" t="s">
        <v>7</v>
      </c>
      <c r="S74" s="7" t="s">
        <v>8</v>
      </c>
      <c r="T74" s="7" t="s">
        <v>9</v>
      </c>
      <c r="U74" s="7" t="s">
        <v>10</v>
      </c>
      <c r="V74" s="8" t="s">
        <v>11</v>
      </c>
    </row>
    <row r="75" spans="2:22" x14ac:dyDescent="0.25">
      <c r="B75" s="32">
        <v>0</v>
      </c>
      <c r="C75" s="2">
        <v>7156</v>
      </c>
      <c r="D75" s="2">
        <v>27.38494</v>
      </c>
      <c r="E75" s="2">
        <v>101.1041</v>
      </c>
      <c r="F75" s="2">
        <v>90.843289999999996</v>
      </c>
      <c r="G75" s="2">
        <v>106.3814</v>
      </c>
      <c r="H75" s="2">
        <v>82.024379999999994</v>
      </c>
      <c r="I75" s="2">
        <v>94.198390000000003</v>
      </c>
      <c r="J75" s="2">
        <v>659.12009999999998</v>
      </c>
      <c r="K75" s="6">
        <v>508.666</v>
      </c>
      <c r="M75" s="35">
        <v>0</v>
      </c>
      <c r="N75" s="2">
        <v>2673</v>
      </c>
      <c r="O75" s="2">
        <v>57.767679999999999</v>
      </c>
      <c r="P75" s="2">
        <v>68.609740000000002</v>
      </c>
      <c r="Q75" s="2">
        <v>50.641649999999998</v>
      </c>
      <c r="R75" s="2">
        <v>72.124889999999994</v>
      </c>
      <c r="S75" s="2">
        <v>48.01041</v>
      </c>
      <c r="T75" s="2">
        <v>57.201479999999997</v>
      </c>
      <c r="U75" s="2">
        <v>656.5077</v>
      </c>
      <c r="V75" s="6">
        <v>499.59840000000003</v>
      </c>
    </row>
    <row r="76" spans="2:22" x14ac:dyDescent="0.25">
      <c r="B76" s="32">
        <v>12</v>
      </c>
      <c r="C76" s="2">
        <v>11063</v>
      </c>
      <c r="D76" s="2">
        <v>111.7145</v>
      </c>
      <c r="E76" s="2">
        <v>135.94069999999999</v>
      </c>
      <c r="F76" s="2">
        <v>104.45650000000001</v>
      </c>
      <c r="G76" s="2">
        <v>143.0035</v>
      </c>
      <c r="H76" s="2">
        <v>94.111630000000005</v>
      </c>
      <c r="I76" s="2">
        <v>117.0026</v>
      </c>
      <c r="J76" s="2">
        <v>691.81039999999996</v>
      </c>
      <c r="K76" s="6">
        <v>512.76700000000005</v>
      </c>
      <c r="M76" s="35">
        <v>12</v>
      </c>
      <c r="N76" s="2">
        <v>2749</v>
      </c>
      <c r="O76" s="2">
        <v>111.89190000000001</v>
      </c>
      <c r="P76" s="2">
        <v>72.318510000000003</v>
      </c>
      <c r="Q76" s="2">
        <v>50.187750000000001</v>
      </c>
      <c r="R76" s="2">
        <v>80.230919999999998</v>
      </c>
      <c r="S76" s="2">
        <v>44</v>
      </c>
      <c r="T76" s="2">
        <v>57.012830000000001</v>
      </c>
      <c r="U76" s="2">
        <v>692.63850000000002</v>
      </c>
      <c r="V76" s="6">
        <v>509.54590000000002</v>
      </c>
    </row>
    <row r="77" spans="2:22" x14ac:dyDescent="0.25">
      <c r="B77" s="32">
        <v>24</v>
      </c>
      <c r="C77" s="2">
        <v>11564</v>
      </c>
      <c r="D77" s="2">
        <v>112.43680000000001</v>
      </c>
      <c r="E77" s="2">
        <v>132.81450000000001</v>
      </c>
      <c r="F77" s="2">
        <v>111.69029999999999</v>
      </c>
      <c r="G77" s="2">
        <v>137.52449999999999</v>
      </c>
      <c r="H77" s="2">
        <v>101.6514</v>
      </c>
      <c r="I77" s="2">
        <v>119.76179999999999</v>
      </c>
      <c r="J77" s="2">
        <v>693.14689999999996</v>
      </c>
      <c r="K77" s="6">
        <v>516.20450000000005</v>
      </c>
      <c r="M77" s="35">
        <v>24</v>
      </c>
      <c r="N77" s="2">
        <v>4164</v>
      </c>
      <c r="O77" s="2">
        <v>117.4295</v>
      </c>
      <c r="P77" s="2">
        <v>82.818889999999996</v>
      </c>
      <c r="Q77" s="2">
        <v>65.523759999999996</v>
      </c>
      <c r="R77" s="2">
        <v>85</v>
      </c>
      <c r="S77" s="2">
        <v>58.591810000000002</v>
      </c>
      <c r="T77" s="2">
        <v>71.040180000000007</v>
      </c>
      <c r="U77" s="2">
        <v>690.71090000000004</v>
      </c>
      <c r="V77" s="6">
        <v>511.6463</v>
      </c>
    </row>
    <row r="78" spans="2:22" x14ac:dyDescent="0.25">
      <c r="B78" s="32">
        <v>36</v>
      </c>
      <c r="C78" s="2">
        <v>15233</v>
      </c>
      <c r="D78" s="2">
        <v>123.152</v>
      </c>
      <c r="E78" s="2">
        <v>145.4974</v>
      </c>
      <c r="F78" s="2">
        <v>134.3159</v>
      </c>
      <c r="G78" s="2">
        <v>156.00319999999999</v>
      </c>
      <c r="H78" s="2">
        <v>123.96769999999999</v>
      </c>
      <c r="I78" s="2">
        <v>137.7654</v>
      </c>
      <c r="J78" s="2">
        <v>691.59090000000003</v>
      </c>
      <c r="K78" s="6">
        <v>512.55579999999998</v>
      </c>
      <c r="M78" s="35">
        <v>36</v>
      </c>
      <c r="N78" s="2">
        <v>5384</v>
      </c>
      <c r="O78" s="2">
        <v>132.42760000000001</v>
      </c>
      <c r="P78" s="2">
        <v>90.280760000000001</v>
      </c>
      <c r="Q78" s="2">
        <v>77.894549999999995</v>
      </c>
      <c r="R78" s="2">
        <v>102.1567</v>
      </c>
      <c r="S78" s="2">
        <v>62.649819999999998</v>
      </c>
      <c r="T78" s="2">
        <v>80.984009999999998</v>
      </c>
      <c r="U78" s="2">
        <v>693.44259999999997</v>
      </c>
      <c r="V78" s="6">
        <v>509.81139999999999</v>
      </c>
    </row>
    <row r="79" spans="2:22" x14ac:dyDescent="0.25">
      <c r="B79" s="32">
        <v>48</v>
      </c>
      <c r="C79" s="2">
        <v>14800</v>
      </c>
      <c r="D79" s="2">
        <v>117.88760000000001</v>
      </c>
      <c r="E79" s="2">
        <v>144.49850000000001</v>
      </c>
      <c r="F79" s="2">
        <v>131.3175</v>
      </c>
      <c r="G79" s="2">
        <v>156.0128</v>
      </c>
      <c r="H79" s="2">
        <v>121.5936</v>
      </c>
      <c r="I79" s="2">
        <v>135.89160000000001</v>
      </c>
      <c r="J79" s="2">
        <v>691.21780000000001</v>
      </c>
      <c r="K79" s="6">
        <v>514.10910000000001</v>
      </c>
      <c r="M79" s="35">
        <v>48</v>
      </c>
      <c r="N79" s="2">
        <v>5178</v>
      </c>
      <c r="O79" s="2">
        <v>126.5744</v>
      </c>
      <c r="P79" s="2">
        <v>91.545910000000006</v>
      </c>
      <c r="Q79" s="2">
        <v>73.602069999999998</v>
      </c>
      <c r="R79" s="2">
        <v>97.416629999999998</v>
      </c>
      <c r="S79" s="2">
        <v>59.615430000000003</v>
      </c>
      <c r="T79" s="2">
        <v>79.202489999999997</v>
      </c>
      <c r="U79" s="2">
        <v>689.4982</v>
      </c>
      <c r="V79" s="6">
        <v>514.45529999999997</v>
      </c>
    </row>
    <row r="80" spans="2:22" x14ac:dyDescent="0.25">
      <c r="B80" s="32"/>
      <c r="K80" s="6"/>
      <c r="M80" s="35"/>
      <c r="V80" s="6"/>
    </row>
    <row r="81" spans="2:22" x14ac:dyDescent="0.25">
      <c r="B81" s="33" t="s">
        <v>18</v>
      </c>
      <c r="C81" s="16"/>
      <c r="D81" s="16"/>
      <c r="E81" s="16"/>
      <c r="F81" s="16"/>
      <c r="G81" s="16"/>
      <c r="H81" s="16"/>
      <c r="I81" s="16"/>
      <c r="J81" s="16"/>
      <c r="K81" s="17"/>
      <c r="M81" s="36" t="s">
        <v>19</v>
      </c>
      <c r="N81" s="16"/>
      <c r="O81" s="16"/>
      <c r="P81" s="16"/>
      <c r="Q81" s="16"/>
      <c r="R81" s="16"/>
      <c r="S81" s="16"/>
      <c r="T81" s="16"/>
      <c r="U81" s="16"/>
      <c r="V81" s="17"/>
    </row>
    <row r="82" spans="2:22" x14ac:dyDescent="0.25">
      <c r="B82" s="33" t="s">
        <v>0</v>
      </c>
      <c r="C82" s="19" t="s">
        <v>3</v>
      </c>
      <c r="D82" s="19" t="s">
        <v>4</v>
      </c>
      <c r="E82" s="19" t="s">
        <v>5</v>
      </c>
      <c r="F82" s="19" t="s">
        <v>6</v>
      </c>
      <c r="G82" s="19" t="s">
        <v>7</v>
      </c>
      <c r="H82" s="19" t="s">
        <v>8</v>
      </c>
      <c r="I82" s="19" t="s">
        <v>9</v>
      </c>
      <c r="J82" s="19" t="s">
        <v>10</v>
      </c>
      <c r="K82" s="20" t="s">
        <v>11</v>
      </c>
      <c r="L82" s="7"/>
      <c r="M82" s="36" t="s">
        <v>0</v>
      </c>
      <c r="N82" s="19" t="s">
        <v>3</v>
      </c>
      <c r="O82" s="19" t="s">
        <v>4</v>
      </c>
      <c r="P82" s="19" t="s">
        <v>5</v>
      </c>
      <c r="Q82" s="19" t="s">
        <v>6</v>
      </c>
      <c r="R82" s="19" t="s">
        <v>7</v>
      </c>
      <c r="S82" s="19" t="s">
        <v>8</v>
      </c>
      <c r="T82" s="19" t="s">
        <v>9</v>
      </c>
      <c r="U82" s="19" t="s">
        <v>10</v>
      </c>
      <c r="V82" s="20" t="s">
        <v>11</v>
      </c>
    </row>
    <row r="83" spans="2:22" x14ac:dyDescent="0.25">
      <c r="B83" s="33">
        <v>0</v>
      </c>
      <c r="C83" s="16">
        <v>12049</v>
      </c>
      <c r="D83" s="16">
        <v>145.9188</v>
      </c>
      <c r="E83" s="16">
        <v>163.2621</v>
      </c>
      <c r="F83" s="16">
        <v>95.080539999999999</v>
      </c>
      <c r="G83" s="16">
        <v>170.55789999999999</v>
      </c>
      <c r="H83" s="16">
        <v>87.321240000000003</v>
      </c>
      <c r="I83" s="16">
        <v>120.19459999999999</v>
      </c>
      <c r="J83" s="16">
        <v>677.30100000000004</v>
      </c>
      <c r="K83" s="17">
        <v>506.85849999999999</v>
      </c>
      <c r="M83" s="36">
        <v>0</v>
      </c>
      <c r="N83" s="16">
        <v>3772</v>
      </c>
      <c r="O83" s="16">
        <v>137.79400000000001</v>
      </c>
      <c r="P83" s="16">
        <v>109.1871</v>
      </c>
      <c r="Q83" s="16">
        <v>46.216610000000003</v>
      </c>
      <c r="R83" s="16">
        <v>101.83320000000001</v>
      </c>
      <c r="S83" s="16">
        <v>28.425339999999998</v>
      </c>
      <c r="T83" s="16">
        <v>66.498369999999994</v>
      </c>
      <c r="U83" s="16">
        <v>669.88739999999996</v>
      </c>
      <c r="V83" s="17">
        <v>514.10919999999999</v>
      </c>
    </row>
    <row r="84" spans="2:22" x14ac:dyDescent="0.25">
      <c r="B84" s="33">
        <v>12</v>
      </c>
      <c r="C84" s="16">
        <v>13811</v>
      </c>
      <c r="D84" s="16">
        <v>146.05330000000001</v>
      </c>
      <c r="E84" s="16">
        <v>155.69450000000001</v>
      </c>
      <c r="F84" s="16">
        <v>113.2645</v>
      </c>
      <c r="G84" s="16">
        <v>162.8895</v>
      </c>
      <c r="H84" s="16">
        <v>107.93519999999999</v>
      </c>
      <c r="I84" s="16">
        <v>130.4898</v>
      </c>
      <c r="J84" s="16">
        <v>689.23879999999997</v>
      </c>
      <c r="K84" s="17">
        <v>521.99980000000005</v>
      </c>
      <c r="M84" s="36">
        <v>12</v>
      </c>
      <c r="N84" s="16">
        <v>3182</v>
      </c>
      <c r="O84" s="16">
        <v>160.9837</v>
      </c>
      <c r="P84" s="16">
        <v>88.417429999999996</v>
      </c>
      <c r="Q84" s="16">
        <v>47.792439999999999</v>
      </c>
      <c r="R84" s="16">
        <v>89.308459999999997</v>
      </c>
      <c r="S84" s="16">
        <v>44.721359999999997</v>
      </c>
      <c r="T84" s="16">
        <v>60.1952</v>
      </c>
      <c r="U84" s="16">
        <v>686.04269999999997</v>
      </c>
      <c r="V84" s="17">
        <v>520.11929999999995</v>
      </c>
    </row>
    <row r="85" spans="2:22" x14ac:dyDescent="0.25">
      <c r="B85" s="33">
        <v>24</v>
      </c>
      <c r="C85" s="16">
        <v>14781</v>
      </c>
      <c r="D85" s="16">
        <v>151.2484</v>
      </c>
      <c r="E85" s="16">
        <v>157.51220000000001</v>
      </c>
      <c r="F85" s="16">
        <v>119.9015</v>
      </c>
      <c r="G85" s="16">
        <v>170.0735</v>
      </c>
      <c r="H85" s="16">
        <v>114.54689999999999</v>
      </c>
      <c r="I85" s="16">
        <v>135.26429999999999</v>
      </c>
      <c r="J85" s="16">
        <v>691.06560000000002</v>
      </c>
      <c r="K85" s="17">
        <v>523.82349999999997</v>
      </c>
      <c r="M85" s="36">
        <v>24</v>
      </c>
      <c r="N85" s="16">
        <v>5524</v>
      </c>
      <c r="O85" s="16">
        <v>130.54499999999999</v>
      </c>
      <c r="P85" s="16">
        <v>102.0091</v>
      </c>
      <c r="Q85" s="16">
        <v>70.085250000000002</v>
      </c>
      <c r="R85" s="16">
        <v>107.0701</v>
      </c>
      <c r="S85" s="16">
        <v>68.154240000000001</v>
      </c>
      <c r="T85" s="16">
        <v>81.790909999999997</v>
      </c>
      <c r="U85" s="16">
        <v>692.89499999999998</v>
      </c>
      <c r="V85" s="17">
        <v>522.92650000000003</v>
      </c>
    </row>
    <row r="86" spans="2:22" x14ac:dyDescent="0.25">
      <c r="B86" s="33">
        <v>36</v>
      </c>
      <c r="C86" s="16">
        <v>18107</v>
      </c>
      <c r="D86" s="16">
        <v>151.06780000000001</v>
      </c>
      <c r="E86" s="16">
        <v>175.16919999999999</v>
      </c>
      <c r="F86" s="16">
        <v>132.0454</v>
      </c>
      <c r="G86" s="16">
        <v>183.41210000000001</v>
      </c>
      <c r="H86" s="16">
        <v>120.7394</v>
      </c>
      <c r="I86" s="16">
        <v>149.93559999999999</v>
      </c>
      <c r="J86" s="16">
        <v>689.06359999999995</v>
      </c>
      <c r="K86" s="17">
        <v>512.81150000000002</v>
      </c>
      <c r="M86" s="36">
        <v>36</v>
      </c>
      <c r="N86" s="16">
        <v>7560</v>
      </c>
      <c r="O86" s="16">
        <v>139.5675</v>
      </c>
      <c r="P86" s="16">
        <v>124.40219999999999</v>
      </c>
      <c r="Q86" s="16">
        <v>79.262780000000006</v>
      </c>
      <c r="R86" s="16">
        <v>125.15989999999999</v>
      </c>
      <c r="S86" s="16">
        <v>76.419889999999995</v>
      </c>
      <c r="T86" s="16">
        <v>94.986969999999999</v>
      </c>
      <c r="U86" s="16">
        <v>693.7722</v>
      </c>
      <c r="V86" s="17">
        <v>511.03629999999998</v>
      </c>
    </row>
    <row r="87" spans="2:22" x14ac:dyDescent="0.25">
      <c r="B87" s="33">
        <v>48</v>
      </c>
      <c r="C87" s="16">
        <v>19154</v>
      </c>
      <c r="D87" s="16">
        <v>150.2989</v>
      </c>
      <c r="E87" s="16">
        <v>180.66919999999999</v>
      </c>
      <c r="F87" s="16">
        <v>135.54310000000001</v>
      </c>
      <c r="G87" s="16">
        <v>188.78819999999999</v>
      </c>
      <c r="H87" s="16">
        <v>130.9084</v>
      </c>
      <c r="I87" s="16">
        <v>154.09549999999999</v>
      </c>
      <c r="J87" s="16">
        <v>688.46469999999999</v>
      </c>
      <c r="K87" s="17">
        <v>511.45010000000002</v>
      </c>
      <c r="M87" s="36">
        <v>48</v>
      </c>
      <c r="N87" s="16">
        <v>7374</v>
      </c>
      <c r="O87" s="16">
        <v>141.50040000000001</v>
      </c>
      <c r="P87" s="16">
        <v>123.9053</v>
      </c>
      <c r="Q87" s="16">
        <v>77.161050000000003</v>
      </c>
      <c r="R87" s="16">
        <v>130.24979999999999</v>
      </c>
      <c r="S87" s="16">
        <v>73.979730000000004</v>
      </c>
      <c r="T87" s="16">
        <v>93.671040000000005</v>
      </c>
      <c r="U87" s="16">
        <v>691.73379999999997</v>
      </c>
      <c r="V87" s="17">
        <v>510.74040000000002</v>
      </c>
    </row>
    <row r="88" spans="2:22" x14ac:dyDescent="0.25">
      <c r="B88" s="32"/>
      <c r="K88" s="6"/>
      <c r="M88" s="35"/>
      <c r="V88" s="6"/>
    </row>
    <row r="89" spans="2:22" x14ac:dyDescent="0.25">
      <c r="B89" s="32" t="s">
        <v>20</v>
      </c>
      <c r="K89" s="6"/>
      <c r="M89" s="35" t="s">
        <v>21</v>
      </c>
      <c r="V89" s="6"/>
    </row>
    <row r="90" spans="2:22" x14ac:dyDescent="0.25">
      <c r="B90" s="32" t="s">
        <v>0</v>
      </c>
      <c r="C90" s="7" t="s">
        <v>3</v>
      </c>
      <c r="D90" s="7" t="s">
        <v>4</v>
      </c>
      <c r="E90" s="7" t="s">
        <v>5</v>
      </c>
      <c r="F90" s="7" t="s">
        <v>6</v>
      </c>
      <c r="G90" s="7" t="s">
        <v>7</v>
      </c>
      <c r="H90" s="7" t="s">
        <v>8</v>
      </c>
      <c r="I90" s="7" t="s">
        <v>9</v>
      </c>
      <c r="J90" s="7" t="s">
        <v>10</v>
      </c>
      <c r="K90" s="8" t="s">
        <v>11</v>
      </c>
      <c r="L90" s="7"/>
      <c r="M90" s="35" t="s">
        <v>0</v>
      </c>
      <c r="N90" s="7" t="s">
        <v>3</v>
      </c>
      <c r="O90" s="7" t="s">
        <v>4</v>
      </c>
      <c r="P90" s="7" t="s">
        <v>5</v>
      </c>
      <c r="Q90" s="7" t="s">
        <v>6</v>
      </c>
      <c r="R90" s="7" t="s">
        <v>7</v>
      </c>
      <c r="S90" s="7" t="s">
        <v>8</v>
      </c>
      <c r="T90" s="7" t="s">
        <v>9</v>
      </c>
      <c r="U90" s="7" t="s">
        <v>10</v>
      </c>
      <c r="V90" s="8" t="s">
        <v>11</v>
      </c>
    </row>
    <row r="91" spans="2:22" x14ac:dyDescent="0.25">
      <c r="B91" s="32">
        <v>0</v>
      </c>
      <c r="C91" s="2">
        <v>9816</v>
      </c>
      <c r="D91" s="2">
        <v>35.442259999999997</v>
      </c>
      <c r="E91" s="2">
        <v>121.3108</v>
      </c>
      <c r="F91" s="2">
        <v>103.2054</v>
      </c>
      <c r="G91" s="2">
        <v>122.9187</v>
      </c>
      <c r="H91" s="2">
        <v>100</v>
      </c>
      <c r="I91" s="2">
        <v>110.58629999999999</v>
      </c>
      <c r="J91" s="2">
        <v>659.17010000000005</v>
      </c>
      <c r="K91" s="6">
        <v>533.67229999999995</v>
      </c>
      <c r="M91" s="35">
        <v>0</v>
      </c>
      <c r="N91" s="2">
        <v>3997</v>
      </c>
      <c r="O91" s="2">
        <v>83.091139999999996</v>
      </c>
      <c r="P91" s="2">
        <v>79.229960000000005</v>
      </c>
      <c r="Q91" s="2">
        <v>66.154269999999997</v>
      </c>
      <c r="R91" s="2">
        <v>86.371290000000002</v>
      </c>
      <c r="S91" s="2">
        <v>59</v>
      </c>
      <c r="T91" s="2">
        <v>69.628810000000001</v>
      </c>
      <c r="U91" s="2">
        <v>662.42049999999995</v>
      </c>
      <c r="V91" s="6">
        <v>526.37270000000001</v>
      </c>
    </row>
    <row r="92" spans="2:22" x14ac:dyDescent="0.25">
      <c r="B92" s="32">
        <v>12</v>
      </c>
      <c r="C92" s="2">
        <v>13467</v>
      </c>
      <c r="D92" s="2">
        <v>13.04654</v>
      </c>
      <c r="E92" s="2">
        <v>137.03989999999999</v>
      </c>
      <c r="F92" s="2">
        <v>126.48309999999999</v>
      </c>
      <c r="G92" s="2">
        <v>148.3947</v>
      </c>
      <c r="H92" s="2">
        <v>117.72</v>
      </c>
      <c r="I92" s="2">
        <v>129.32980000000001</v>
      </c>
      <c r="J92" s="2">
        <v>652.16880000000003</v>
      </c>
      <c r="K92" s="6">
        <v>538.83529999999996</v>
      </c>
      <c r="M92" s="35">
        <v>12</v>
      </c>
      <c r="N92" s="2">
        <v>4773</v>
      </c>
      <c r="O92" s="2">
        <v>27.44651</v>
      </c>
      <c r="P92" s="2">
        <v>87.61842</v>
      </c>
      <c r="Q92" s="2">
        <v>72.4773</v>
      </c>
      <c r="R92" s="2">
        <v>93.193340000000006</v>
      </c>
      <c r="S92" s="2">
        <v>56.089210000000001</v>
      </c>
      <c r="T92" s="2">
        <v>75.760199999999998</v>
      </c>
      <c r="U92" s="2">
        <v>658.59630000000004</v>
      </c>
      <c r="V92" s="6">
        <v>535.28890000000001</v>
      </c>
    </row>
    <row r="93" spans="2:22" x14ac:dyDescent="0.25">
      <c r="B93" s="32">
        <v>24</v>
      </c>
      <c r="C93" s="2">
        <v>26610</v>
      </c>
      <c r="D93" s="2">
        <v>158.7578</v>
      </c>
      <c r="E93" s="2">
        <v>190.03380000000001</v>
      </c>
      <c r="F93" s="2">
        <v>178.8742</v>
      </c>
      <c r="G93" s="2">
        <v>201.80439999999999</v>
      </c>
      <c r="H93" s="2">
        <v>171.1198</v>
      </c>
      <c r="I93" s="2">
        <v>182.9357</v>
      </c>
      <c r="J93" s="2">
        <v>650.34749999999997</v>
      </c>
      <c r="K93" s="6">
        <v>540.95510000000002</v>
      </c>
      <c r="M93" s="35">
        <v>24</v>
      </c>
      <c r="N93" s="2">
        <v>10314</v>
      </c>
      <c r="O93" s="2">
        <v>155.4041</v>
      </c>
      <c r="P93" s="2">
        <v>119.3999</v>
      </c>
      <c r="Q93" s="2">
        <v>110.7439</v>
      </c>
      <c r="R93" s="2">
        <v>124.40260000000001</v>
      </c>
      <c r="S93" s="2">
        <v>105.4751</v>
      </c>
      <c r="T93" s="2">
        <v>113.2423</v>
      </c>
      <c r="U93" s="2">
        <v>657.4547</v>
      </c>
      <c r="V93" s="6">
        <v>540.36680000000001</v>
      </c>
    </row>
    <row r="94" spans="2:22" x14ac:dyDescent="0.25">
      <c r="B94" s="32">
        <v>36</v>
      </c>
      <c r="C94" s="2">
        <v>27169</v>
      </c>
      <c r="D94" s="2">
        <v>154.51609999999999</v>
      </c>
      <c r="E94" s="2">
        <v>192.4786</v>
      </c>
      <c r="F94" s="2">
        <v>180.49189999999999</v>
      </c>
      <c r="G94" s="2">
        <v>206.63489999999999</v>
      </c>
      <c r="H94" s="2">
        <v>171.14320000000001</v>
      </c>
      <c r="I94" s="2">
        <v>184.86089999999999</v>
      </c>
      <c r="J94" s="2">
        <v>651.39269999999999</v>
      </c>
      <c r="K94" s="6">
        <v>521.86220000000003</v>
      </c>
      <c r="M94" s="35">
        <v>36</v>
      </c>
      <c r="N94" s="2">
        <v>10482</v>
      </c>
      <c r="O94" s="2">
        <v>54.762839999999997</v>
      </c>
      <c r="P94" s="2">
        <v>119.0398</v>
      </c>
      <c r="Q94" s="2">
        <v>113.6763</v>
      </c>
      <c r="R94" s="2">
        <v>128.00389999999999</v>
      </c>
      <c r="S94" s="2">
        <v>98.85848</v>
      </c>
      <c r="T94" s="2">
        <v>114.018</v>
      </c>
      <c r="U94" s="2">
        <v>651.40800000000002</v>
      </c>
      <c r="V94" s="6">
        <v>520.11329999999998</v>
      </c>
    </row>
    <row r="95" spans="2:22" x14ac:dyDescent="0.25">
      <c r="B95" s="32">
        <v>48</v>
      </c>
      <c r="C95" s="2">
        <v>26664</v>
      </c>
      <c r="D95" s="2">
        <v>169.4725</v>
      </c>
      <c r="E95" s="2">
        <v>187.82730000000001</v>
      </c>
      <c r="F95" s="2">
        <v>181.60050000000001</v>
      </c>
      <c r="G95" s="2">
        <v>199.6422</v>
      </c>
      <c r="H95" s="2">
        <v>172.35140000000001</v>
      </c>
      <c r="I95" s="2">
        <v>182.8605</v>
      </c>
      <c r="J95" s="2">
        <v>650.28579999999999</v>
      </c>
      <c r="K95" s="6">
        <v>520.7758</v>
      </c>
      <c r="M95" s="35">
        <v>48</v>
      </c>
      <c r="N95" s="2">
        <v>9249</v>
      </c>
      <c r="O95" s="2">
        <v>85.972380000000001</v>
      </c>
      <c r="P95" s="2">
        <v>112.0759</v>
      </c>
      <c r="Q95" s="2">
        <v>109.8242</v>
      </c>
      <c r="R95" s="2">
        <v>132.77420000000001</v>
      </c>
      <c r="S95" s="2">
        <v>88.022729999999996</v>
      </c>
      <c r="T95" s="2">
        <v>105.5543</v>
      </c>
      <c r="U95" s="2">
        <v>652.73009999999999</v>
      </c>
      <c r="V95" s="6">
        <v>517.6671</v>
      </c>
    </row>
    <row r="96" spans="2:22" x14ac:dyDescent="0.25">
      <c r="B96" s="32"/>
      <c r="K96" s="6"/>
      <c r="M96" s="35"/>
      <c r="V96" s="6"/>
    </row>
    <row r="97" spans="2:22" x14ac:dyDescent="0.25">
      <c r="B97" s="33" t="s">
        <v>22</v>
      </c>
      <c r="C97" s="16"/>
      <c r="D97" s="16"/>
      <c r="E97" s="16"/>
      <c r="F97" s="16"/>
      <c r="G97" s="16"/>
      <c r="H97" s="16"/>
      <c r="I97" s="16"/>
      <c r="J97" s="16"/>
      <c r="K97" s="17"/>
      <c r="M97" s="36" t="s">
        <v>23</v>
      </c>
      <c r="N97" s="16"/>
      <c r="O97" s="16"/>
      <c r="P97" s="16"/>
      <c r="Q97" s="16"/>
      <c r="R97" s="16"/>
      <c r="S97" s="16"/>
      <c r="T97" s="16"/>
      <c r="U97" s="16"/>
      <c r="V97" s="17"/>
    </row>
    <row r="98" spans="2:22" x14ac:dyDescent="0.25">
      <c r="B98" s="33" t="s">
        <v>0</v>
      </c>
      <c r="C98" s="19" t="s">
        <v>3</v>
      </c>
      <c r="D98" s="19" t="s">
        <v>4</v>
      </c>
      <c r="E98" s="19" t="s">
        <v>5</v>
      </c>
      <c r="F98" s="19" t="s">
        <v>6</v>
      </c>
      <c r="G98" s="19" t="s">
        <v>7</v>
      </c>
      <c r="H98" s="19" t="s">
        <v>8</v>
      </c>
      <c r="I98" s="19" t="s">
        <v>9</v>
      </c>
      <c r="J98" s="19" t="s">
        <v>10</v>
      </c>
      <c r="K98" s="20" t="s">
        <v>11</v>
      </c>
      <c r="L98" s="7"/>
      <c r="M98" s="36" t="s">
        <v>0</v>
      </c>
      <c r="N98" s="19" t="s">
        <v>3</v>
      </c>
      <c r="O98" s="19" t="s">
        <v>4</v>
      </c>
      <c r="P98" s="19" t="s">
        <v>5</v>
      </c>
      <c r="Q98" s="19" t="s">
        <v>6</v>
      </c>
      <c r="R98" s="19" t="s">
        <v>7</v>
      </c>
      <c r="S98" s="19" t="s">
        <v>8</v>
      </c>
      <c r="T98" s="19" t="s">
        <v>9</v>
      </c>
      <c r="U98" s="19" t="s">
        <v>10</v>
      </c>
      <c r="V98" s="20" t="s">
        <v>11</v>
      </c>
    </row>
    <row r="99" spans="2:22" x14ac:dyDescent="0.25">
      <c r="B99" s="33">
        <v>0</v>
      </c>
      <c r="C99" s="16">
        <v>12974</v>
      </c>
      <c r="D99" s="16">
        <v>167.48869999999999</v>
      </c>
      <c r="E99" s="16">
        <v>129.37260000000001</v>
      </c>
      <c r="F99" s="16">
        <v>127.9624</v>
      </c>
      <c r="G99" s="16">
        <v>136.1249</v>
      </c>
      <c r="H99" s="16">
        <v>119.8541</v>
      </c>
      <c r="I99" s="16">
        <v>127.5645</v>
      </c>
      <c r="J99" s="16">
        <v>629.88139999999999</v>
      </c>
      <c r="K99" s="17">
        <v>528.73040000000003</v>
      </c>
      <c r="M99" s="36">
        <v>0</v>
      </c>
      <c r="N99" s="16">
        <v>4467</v>
      </c>
      <c r="O99" s="16">
        <v>152.1268</v>
      </c>
      <c r="P99" s="16">
        <v>83.10839</v>
      </c>
      <c r="Q99" s="16">
        <v>70.824489999999997</v>
      </c>
      <c r="R99" s="16">
        <v>92.962360000000004</v>
      </c>
      <c r="S99" s="16">
        <v>60.440049999999999</v>
      </c>
      <c r="T99" s="16">
        <v>73.428120000000007</v>
      </c>
      <c r="U99" s="16">
        <v>620.7337</v>
      </c>
      <c r="V99" s="17">
        <v>527.81119999999999</v>
      </c>
    </row>
    <row r="100" spans="2:22" x14ac:dyDescent="0.25">
      <c r="B100" s="33">
        <v>12</v>
      </c>
      <c r="C100" s="16">
        <v>14311</v>
      </c>
      <c r="D100" s="16">
        <v>147.0703</v>
      </c>
      <c r="E100" s="16">
        <v>148.4282</v>
      </c>
      <c r="F100" s="16">
        <v>124.0307</v>
      </c>
      <c r="G100" s="16">
        <v>174.47059999999999</v>
      </c>
      <c r="H100" s="16">
        <v>117.32429999999999</v>
      </c>
      <c r="I100" s="16">
        <v>133.72819999999999</v>
      </c>
      <c r="J100" s="16">
        <v>635.61310000000003</v>
      </c>
      <c r="K100" s="17">
        <v>530.79579999999999</v>
      </c>
      <c r="M100" s="36">
        <v>12</v>
      </c>
      <c r="N100" s="16">
        <v>5459</v>
      </c>
      <c r="O100" s="16">
        <v>161.2364</v>
      </c>
      <c r="P100" s="16">
        <v>93.223969999999994</v>
      </c>
      <c r="Q100" s="16">
        <v>75.219380000000001</v>
      </c>
      <c r="R100" s="16">
        <v>98.270030000000006</v>
      </c>
      <c r="S100" s="16">
        <v>67.720010000000002</v>
      </c>
      <c r="T100" s="16">
        <v>81.916399999999996</v>
      </c>
      <c r="U100" s="16">
        <v>634.35889999999995</v>
      </c>
      <c r="V100" s="17">
        <v>531.29840000000002</v>
      </c>
    </row>
    <row r="101" spans="2:22" x14ac:dyDescent="0.25">
      <c r="B101" s="33">
        <v>24</v>
      </c>
      <c r="C101" s="16">
        <v>38101</v>
      </c>
      <c r="D101" s="16">
        <v>145.7236</v>
      </c>
      <c r="E101" s="16">
        <v>242.6139</v>
      </c>
      <c r="F101" s="16">
        <v>200.6096</v>
      </c>
      <c r="G101" s="16">
        <v>252.87549999999999</v>
      </c>
      <c r="H101" s="16">
        <v>199.48429999999999</v>
      </c>
      <c r="I101" s="16">
        <v>218.7278</v>
      </c>
      <c r="J101" s="16">
        <v>630.14949999999999</v>
      </c>
      <c r="K101" s="17">
        <v>527.73800000000006</v>
      </c>
      <c r="M101" s="36">
        <v>24</v>
      </c>
      <c r="N101" s="16">
        <v>12878</v>
      </c>
      <c r="O101" s="16">
        <v>160.66749999999999</v>
      </c>
      <c r="P101" s="16">
        <v>132.07210000000001</v>
      </c>
      <c r="Q101" s="16">
        <v>124.768</v>
      </c>
      <c r="R101" s="16">
        <v>139.60659999999999</v>
      </c>
      <c r="S101" s="16">
        <v>117.5968</v>
      </c>
      <c r="T101" s="16">
        <v>126.6938</v>
      </c>
      <c r="U101" s="16">
        <v>636.04070000000002</v>
      </c>
      <c r="V101" s="17">
        <v>526.85040000000004</v>
      </c>
    </row>
    <row r="102" spans="2:22" x14ac:dyDescent="0.25">
      <c r="B102" s="33">
        <v>36</v>
      </c>
      <c r="C102" s="16">
        <v>38264</v>
      </c>
      <c r="D102" s="16">
        <v>147.7055</v>
      </c>
      <c r="E102" s="16">
        <v>240.76900000000001</v>
      </c>
      <c r="F102" s="16">
        <v>203.16069999999999</v>
      </c>
      <c r="G102" s="16">
        <v>248.21969999999999</v>
      </c>
      <c r="H102" s="16">
        <v>199.42420000000001</v>
      </c>
      <c r="I102" s="16">
        <v>219.184</v>
      </c>
      <c r="J102" s="16">
        <v>628.54190000000006</v>
      </c>
      <c r="K102" s="17">
        <v>525.73599999999999</v>
      </c>
      <c r="M102" s="36">
        <v>36</v>
      </c>
      <c r="N102" s="16">
        <v>11618</v>
      </c>
      <c r="O102" s="16">
        <v>140.3477</v>
      </c>
      <c r="P102" s="16">
        <v>126.0667</v>
      </c>
      <c r="Q102" s="16">
        <v>117.9576</v>
      </c>
      <c r="R102" s="16">
        <v>131.64349999999999</v>
      </c>
      <c r="S102" s="16">
        <v>111.77209999999999</v>
      </c>
      <c r="T102" s="16">
        <v>120.4033</v>
      </c>
      <c r="U102" s="16">
        <v>635.7894</v>
      </c>
      <c r="V102" s="17">
        <v>525.02750000000003</v>
      </c>
    </row>
    <row r="103" spans="2:22" x14ac:dyDescent="0.25">
      <c r="B103" s="33">
        <v>48</v>
      </c>
      <c r="C103" s="16">
        <v>38775</v>
      </c>
      <c r="D103" s="16">
        <v>149.9468</v>
      </c>
      <c r="E103" s="16">
        <v>241.8022</v>
      </c>
      <c r="F103" s="16">
        <v>204.7543</v>
      </c>
      <c r="G103" s="16">
        <v>249.35319999999999</v>
      </c>
      <c r="H103" s="16">
        <v>202.2004</v>
      </c>
      <c r="I103" s="16">
        <v>220.62090000000001</v>
      </c>
      <c r="J103" s="16">
        <v>628.43499999999995</v>
      </c>
      <c r="K103" s="17">
        <v>529.65229999999997</v>
      </c>
      <c r="M103" s="36">
        <v>48</v>
      </c>
      <c r="N103" s="16">
        <v>10938</v>
      </c>
      <c r="O103" s="16">
        <v>155.3117</v>
      </c>
      <c r="P103" s="16">
        <v>131.1891</v>
      </c>
      <c r="Q103" s="16">
        <v>106.9841</v>
      </c>
      <c r="R103" s="16">
        <v>141.35419999999999</v>
      </c>
      <c r="S103" s="16">
        <v>99.824839999999995</v>
      </c>
      <c r="T103" s="16">
        <v>116.3707</v>
      </c>
      <c r="U103" s="16">
        <v>625.46310000000005</v>
      </c>
      <c r="V103" s="17">
        <v>533.40110000000004</v>
      </c>
    </row>
    <row r="104" spans="2:22" x14ac:dyDescent="0.25">
      <c r="B104" s="32"/>
      <c r="K104" s="6"/>
      <c r="M104" s="35"/>
      <c r="V104" s="6"/>
    </row>
    <row r="105" spans="2:22" x14ac:dyDescent="0.25">
      <c r="B105" s="32" t="s">
        <v>24</v>
      </c>
      <c r="K105" s="6"/>
      <c r="M105" s="35" t="s">
        <v>25</v>
      </c>
      <c r="V105" s="6"/>
    </row>
    <row r="106" spans="2:22" x14ac:dyDescent="0.25">
      <c r="B106" s="32" t="s">
        <v>0</v>
      </c>
      <c r="C106" s="7" t="s">
        <v>3</v>
      </c>
      <c r="D106" s="7" t="s">
        <v>4</v>
      </c>
      <c r="E106" s="7" t="s">
        <v>5</v>
      </c>
      <c r="F106" s="7" t="s">
        <v>6</v>
      </c>
      <c r="G106" s="7" t="s">
        <v>7</v>
      </c>
      <c r="H106" s="7" t="s">
        <v>8</v>
      </c>
      <c r="I106" s="7" t="s">
        <v>9</v>
      </c>
      <c r="J106" s="7" t="s">
        <v>10</v>
      </c>
      <c r="K106" s="8" t="s">
        <v>11</v>
      </c>
      <c r="L106" s="7"/>
      <c r="M106" s="35" t="s">
        <v>0</v>
      </c>
      <c r="N106" s="7" t="s">
        <v>3</v>
      </c>
      <c r="O106" s="7" t="s">
        <v>4</v>
      </c>
      <c r="P106" s="7" t="s">
        <v>5</v>
      </c>
      <c r="Q106" s="7" t="s">
        <v>6</v>
      </c>
      <c r="R106" s="7" t="s">
        <v>7</v>
      </c>
      <c r="S106" s="7" t="s">
        <v>8</v>
      </c>
      <c r="T106" s="7" t="s">
        <v>9</v>
      </c>
      <c r="U106" s="7" t="s">
        <v>10</v>
      </c>
      <c r="V106" s="8" t="s">
        <v>11</v>
      </c>
    </row>
    <row r="107" spans="2:22" x14ac:dyDescent="0.25">
      <c r="B107" s="32">
        <v>0</v>
      </c>
      <c r="C107" s="2">
        <v>5893</v>
      </c>
      <c r="D107" s="2">
        <v>34.312849999999997</v>
      </c>
      <c r="E107" s="2">
        <v>92.428349999999995</v>
      </c>
      <c r="F107" s="2">
        <v>81.522909999999996</v>
      </c>
      <c r="G107" s="2">
        <v>92.633690000000001</v>
      </c>
      <c r="H107" s="2">
        <v>78.1601</v>
      </c>
      <c r="I107" s="2">
        <v>85.499200000000002</v>
      </c>
      <c r="J107" s="2">
        <v>703.54020000000003</v>
      </c>
      <c r="K107" s="6">
        <v>526.41250000000002</v>
      </c>
      <c r="M107" s="35">
        <v>0</v>
      </c>
      <c r="N107" s="2">
        <v>1813</v>
      </c>
      <c r="O107" s="2">
        <v>37.54486</v>
      </c>
      <c r="P107" s="2">
        <v>60.47</v>
      </c>
      <c r="Q107" s="2">
        <v>41.470559999999999</v>
      </c>
      <c r="R107" s="2">
        <v>62.128900000000002</v>
      </c>
      <c r="S107" s="2">
        <v>21.931709999999999</v>
      </c>
      <c r="T107" s="2">
        <v>45.885350000000003</v>
      </c>
      <c r="U107" s="2">
        <v>708.02949999999998</v>
      </c>
      <c r="V107" s="6">
        <v>530.01059999999995</v>
      </c>
    </row>
    <row r="108" spans="2:22" x14ac:dyDescent="0.25">
      <c r="B108" s="32">
        <v>12</v>
      </c>
      <c r="C108" s="2">
        <v>8910</v>
      </c>
      <c r="D108" s="2">
        <v>20.62013</v>
      </c>
      <c r="E108" s="2">
        <v>115.8892</v>
      </c>
      <c r="F108" s="2">
        <v>98.668890000000005</v>
      </c>
      <c r="G108" s="2">
        <v>128.6934</v>
      </c>
      <c r="H108" s="2">
        <v>93.722999999999999</v>
      </c>
      <c r="I108" s="2">
        <v>105.35</v>
      </c>
      <c r="J108" s="2">
        <v>693.36779999999999</v>
      </c>
      <c r="K108" s="6">
        <v>538.15030000000002</v>
      </c>
      <c r="M108" s="35">
        <v>12</v>
      </c>
      <c r="N108" s="2">
        <v>2189</v>
      </c>
      <c r="O108" s="2">
        <v>29.021439999999998</v>
      </c>
      <c r="P108" s="2">
        <v>61.310369999999999</v>
      </c>
      <c r="Q108" s="2">
        <v>47.089100000000002</v>
      </c>
      <c r="R108" s="2">
        <v>63.50591</v>
      </c>
      <c r="S108" s="2">
        <v>41.976179999999999</v>
      </c>
      <c r="T108" s="2">
        <v>50.73395</v>
      </c>
      <c r="U108" s="2">
        <v>697.04899999999998</v>
      </c>
      <c r="V108" s="6">
        <v>535.63390000000004</v>
      </c>
    </row>
    <row r="109" spans="2:22" x14ac:dyDescent="0.25">
      <c r="B109" s="32">
        <v>24</v>
      </c>
      <c r="C109" s="2">
        <v>14688</v>
      </c>
      <c r="D109" s="2">
        <v>20.581230000000001</v>
      </c>
      <c r="E109" s="2">
        <v>152.786</v>
      </c>
      <c r="F109" s="2">
        <v>123.2456</v>
      </c>
      <c r="G109" s="2">
        <v>168.88460000000001</v>
      </c>
      <c r="H109" s="2">
        <v>121.2353</v>
      </c>
      <c r="I109" s="2">
        <v>135.33359999999999</v>
      </c>
      <c r="J109" s="2">
        <v>694.21969999999999</v>
      </c>
      <c r="K109" s="6">
        <v>539.93769999999995</v>
      </c>
      <c r="M109" s="35">
        <v>24</v>
      </c>
      <c r="N109" s="2">
        <v>5075</v>
      </c>
      <c r="O109" s="2">
        <v>167.88339999999999</v>
      </c>
      <c r="P109" s="2">
        <v>88.448840000000004</v>
      </c>
      <c r="Q109" s="2">
        <v>74.957849999999993</v>
      </c>
      <c r="R109" s="2">
        <v>94.021270000000001</v>
      </c>
      <c r="S109" s="2">
        <v>67.720010000000002</v>
      </c>
      <c r="T109" s="2">
        <v>78.634180000000001</v>
      </c>
      <c r="U109" s="2">
        <v>691.08870000000002</v>
      </c>
      <c r="V109" s="6">
        <v>537.47659999999996</v>
      </c>
    </row>
    <row r="110" spans="2:22" x14ac:dyDescent="0.25">
      <c r="B110" s="32">
        <v>36</v>
      </c>
      <c r="C110" s="2">
        <v>15190</v>
      </c>
      <c r="D110" s="2">
        <v>19.014389999999999</v>
      </c>
      <c r="E110" s="2">
        <v>147.3501</v>
      </c>
      <c r="F110" s="2">
        <v>131.8425</v>
      </c>
      <c r="G110" s="2">
        <v>154.73849999999999</v>
      </c>
      <c r="H110" s="2">
        <v>120.93389999999999</v>
      </c>
      <c r="I110" s="2">
        <v>137.7467</v>
      </c>
      <c r="J110" s="2">
        <v>656.28499999999997</v>
      </c>
      <c r="K110" s="6">
        <v>541.40009999999995</v>
      </c>
      <c r="M110" s="35">
        <v>36</v>
      </c>
      <c r="N110" s="2">
        <v>5621</v>
      </c>
      <c r="O110" s="2">
        <v>169.05930000000001</v>
      </c>
      <c r="P110" s="2">
        <v>91.237430000000003</v>
      </c>
      <c r="Q110" s="2">
        <v>80.11103</v>
      </c>
      <c r="R110" s="2">
        <v>95.900989999999993</v>
      </c>
      <c r="S110" s="2">
        <v>68.883960000000002</v>
      </c>
      <c r="T110" s="2">
        <v>83.008030000000005</v>
      </c>
      <c r="U110" s="2">
        <v>649.75900000000001</v>
      </c>
      <c r="V110" s="6">
        <v>544.97490000000005</v>
      </c>
    </row>
    <row r="111" spans="2:22" x14ac:dyDescent="0.25">
      <c r="B111" s="32">
        <v>48</v>
      </c>
      <c r="C111" s="2">
        <v>15717</v>
      </c>
      <c r="D111" s="2">
        <v>19.58193</v>
      </c>
      <c r="E111" s="2">
        <v>149.5189</v>
      </c>
      <c r="F111" s="2">
        <v>134.2011</v>
      </c>
      <c r="G111" s="2">
        <v>156.51840000000001</v>
      </c>
      <c r="H111" s="2">
        <v>130.05000000000001</v>
      </c>
      <c r="I111" s="2">
        <v>140.2381</v>
      </c>
      <c r="J111" s="2">
        <v>657.07799999999997</v>
      </c>
      <c r="K111" s="6">
        <v>543.95939999999996</v>
      </c>
      <c r="M111" s="35">
        <v>48</v>
      </c>
      <c r="N111" s="2">
        <v>5290</v>
      </c>
      <c r="O111" s="2">
        <v>175.35749999999999</v>
      </c>
      <c r="P111" s="2">
        <v>90.394689999999997</v>
      </c>
      <c r="Q111" s="2">
        <v>77.206040000000002</v>
      </c>
      <c r="R111" s="2">
        <v>95.210300000000004</v>
      </c>
      <c r="S111" s="2">
        <v>66.241979999999998</v>
      </c>
      <c r="T111" s="2">
        <v>79.895449999999997</v>
      </c>
      <c r="U111" s="2">
        <v>651.53840000000002</v>
      </c>
      <c r="V111" s="6">
        <v>547.39359999999999</v>
      </c>
    </row>
    <row r="112" spans="2:22" x14ac:dyDescent="0.25">
      <c r="B112" s="32"/>
      <c r="K112" s="6"/>
      <c r="M112" s="35"/>
      <c r="V112" s="6"/>
    </row>
    <row r="113" spans="2:22" x14ac:dyDescent="0.25">
      <c r="B113" s="33" t="s">
        <v>26</v>
      </c>
      <c r="C113" s="16"/>
      <c r="D113" s="16"/>
      <c r="E113" s="16"/>
      <c r="F113" s="16"/>
      <c r="G113" s="16"/>
      <c r="H113" s="16"/>
      <c r="I113" s="16"/>
      <c r="J113" s="16"/>
      <c r="K113" s="17"/>
      <c r="M113" s="36" t="s">
        <v>27</v>
      </c>
      <c r="N113" s="16"/>
      <c r="O113" s="16"/>
      <c r="P113" s="16"/>
      <c r="Q113" s="16"/>
      <c r="R113" s="16"/>
      <c r="S113" s="16"/>
      <c r="T113" s="16"/>
      <c r="U113" s="16"/>
      <c r="V113" s="17"/>
    </row>
    <row r="114" spans="2:22" x14ac:dyDescent="0.25">
      <c r="B114" s="33" t="s">
        <v>0</v>
      </c>
      <c r="C114" s="19" t="s">
        <v>3</v>
      </c>
      <c r="D114" s="19" t="s">
        <v>4</v>
      </c>
      <c r="E114" s="19" t="s">
        <v>5</v>
      </c>
      <c r="F114" s="19" t="s">
        <v>6</v>
      </c>
      <c r="G114" s="19" t="s">
        <v>7</v>
      </c>
      <c r="H114" s="19" t="s">
        <v>8</v>
      </c>
      <c r="I114" s="19" t="s">
        <v>9</v>
      </c>
      <c r="J114" s="19" t="s">
        <v>10</v>
      </c>
      <c r="K114" s="20" t="s">
        <v>11</v>
      </c>
      <c r="L114" s="7"/>
      <c r="M114" s="36" t="s">
        <v>0</v>
      </c>
      <c r="N114" s="19" t="s">
        <v>3</v>
      </c>
      <c r="O114" s="19" t="s">
        <v>4</v>
      </c>
      <c r="P114" s="19" t="s">
        <v>5</v>
      </c>
      <c r="Q114" s="19" t="s">
        <v>6</v>
      </c>
      <c r="R114" s="19" t="s">
        <v>7</v>
      </c>
      <c r="S114" s="19" t="s">
        <v>8</v>
      </c>
      <c r="T114" s="19" t="s">
        <v>9</v>
      </c>
      <c r="U114" s="19" t="s">
        <v>10</v>
      </c>
      <c r="V114" s="20" t="s">
        <v>11</v>
      </c>
    </row>
    <row r="115" spans="2:22" x14ac:dyDescent="0.25">
      <c r="B115" s="33">
        <v>0</v>
      </c>
      <c r="C115" s="16">
        <v>12257</v>
      </c>
      <c r="D115" s="16">
        <v>52.260219999999997</v>
      </c>
      <c r="E115" s="16">
        <v>143.95230000000001</v>
      </c>
      <c r="F115" s="16">
        <v>111.3745</v>
      </c>
      <c r="G115" s="16">
        <v>190.27610000000001</v>
      </c>
      <c r="H115" s="16">
        <v>109.77249999999999</v>
      </c>
      <c r="I115" s="16">
        <v>122.92619999999999</v>
      </c>
      <c r="J115" s="16">
        <v>607.61509999999998</v>
      </c>
      <c r="K115" s="17">
        <v>470.42430000000002</v>
      </c>
      <c r="M115" s="36">
        <v>0</v>
      </c>
      <c r="N115" s="16">
        <v>4763</v>
      </c>
      <c r="O115" s="16">
        <v>35.984180000000002</v>
      </c>
      <c r="P115" s="16">
        <v>94.207890000000006</v>
      </c>
      <c r="Q115" s="16">
        <v>65.531300000000002</v>
      </c>
      <c r="R115" s="16">
        <v>102.9417</v>
      </c>
      <c r="S115" s="16">
        <v>57.008769999999998</v>
      </c>
      <c r="T115" s="16">
        <v>75.811520000000002</v>
      </c>
      <c r="U115" s="16">
        <v>604.82659999999998</v>
      </c>
      <c r="V115" s="17">
        <v>469.61739999999998</v>
      </c>
    </row>
    <row r="116" spans="2:22" x14ac:dyDescent="0.25">
      <c r="B116" s="33">
        <v>12</v>
      </c>
      <c r="C116" s="16">
        <v>16995</v>
      </c>
      <c r="D116" s="16">
        <v>44.831060000000001</v>
      </c>
      <c r="E116" s="16">
        <v>173.1754</v>
      </c>
      <c r="F116" s="16">
        <v>128.37970000000001</v>
      </c>
      <c r="G116" s="16">
        <v>205.06100000000001</v>
      </c>
      <c r="H116" s="16">
        <v>126.46339999999999</v>
      </c>
      <c r="I116" s="16">
        <v>144.47790000000001</v>
      </c>
      <c r="J116" s="16">
        <v>614.97239999999999</v>
      </c>
      <c r="K116" s="17">
        <v>471.78800000000001</v>
      </c>
      <c r="M116" s="36">
        <v>12</v>
      </c>
      <c r="N116" s="16">
        <v>4707</v>
      </c>
      <c r="O116" s="16">
        <v>42.689070000000001</v>
      </c>
      <c r="P116" s="16">
        <v>96.066760000000002</v>
      </c>
      <c r="Q116" s="16">
        <v>64.206869999999995</v>
      </c>
      <c r="R116" s="16">
        <v>99.357939999999999</v>
      </c>
      <c r="S116" s="16">
        <v>55.154330000000002</v>
      </c>
      <c r="T116" s="16">
        <v>74.98348</v>
      </c>
      <c r="U116" s="16">
        <v>613.07839999999999</v>
      </c>
      <c r="V116" s="17">
        <v>473.64729999999997</v>
      </c>
    </row>
    <row r="117" spans="2:22" x14ac:dyDescent="0.25">
      <c r="B117" s="33">
        <v>24</v>
      </c>
      <c r="C117" s="16">
        <v>32556</v>
      </c>
      <c r="D117" s="16">
        <v>61.299419999999998</v>
      </c>
      <c r="E117" s="16">
        <v>214.21029999999999</v>
      </c>
      <c r="F117" s="16">
        <v>194.13390000000001</v>
      </c>
      <c r="G117" s="16">
        <v>224.90219999999999</v>
      </c>
      <c r="H117" s="16">
        <v>185.6987</v>
      </c>
      <c r="I117" s="16">
        <v>202.14959999999999</v>
      </c>
      <c r="J117" s="16">
        <v>611.37900000000002</v>
      </c>
      <c r="K117" s="17">
        <v>478.6071</v>
      </c>
      <c r="M117" s="36">
        <v>24</v>
      </c>
      <c r="N117" s="16">
        <v>10807</v>
      </c>
      <c r="O117" s="16">
        <v>14.541740000000001</v>
      </c>
      <c r="P117" s="16">
        <v>125.3595</v>
      </c>
      <c r="Q117" s="16">
        <v>111.1925</v>
      </c>
      <c r="R117" s="16">
        <v>131.9735</v>
      </c>
      <c r="S117" s="16">
        <v>90.824010000000001</v>
      </c>
      <c r="T117" s="16">
        <v>115.5718</v>
      </c>
      <c r="U117" s="16">
        <v>625.07640000000004</v>
      </c>
      <c r="V117" s="17">
        <v>476.7679</v>
      </c>
    </row>
    <row r="118" spans="2:22" x14ac:dyDescent="0.25">
      <c r="B118" s="33">
        <v>36</v>
      </c>
      <c r="C118" s="16">
        <v>31235</v>
      </c>
      <c r="D118" s="16">
        <v>64.200739999999996</v>
      </c>
      <c r="E118" s="16">
        <v>210.5291</v>
      </c>
      <c r="F118" s="16">
        <v>189.64680000000001</v>
      </c>
      <c r="G118" s="16">
        <v>224.90219999999999</v>
      </c>
      <c r="H118" s="16">
        <v>179.61070000000001</v>
      </c>
      <c r="I118" s="16">
        <v>198.14660000000001</v>
      </c>
      <c r="J118" s="16">
        <v>615.02149999999995</v>
      </c>
      <c r="K118" s="17">
        <v>480.86340000000001</v>
      </c>
      <c r="M118" s="36">
        <v>36</v>
      </c>
      <c r="N118" s="16">
        <v>10136</v>
      </c>
      <c r="O118" s="16">
        <v>41.868639999999999</v>
      </c>
      <c r="P118" s="16">
        <v>120.0822</v>
      </c>
      <c r="Q118" s="16">
        <v>109.3206</v>
      </c>
      <c r="R118" s="16">
        <v>124.3262</v>
      </c>
      <c r="S118" s="16">
        <v>88.549419999999998</v>
      </c>
      <c r="T118" s="16">
        <v>111.9169</v>
      </c>
      <c r="U118" s="16">
        <v>621.95399999999995</v>
      </c>
      <c r="V118" s="17">
        <v>474.32920000000001</v>
      </c>
    </row>
    <row r="119" spans="2:22" x14ac:dyDescent="0.25">
      <c r="B119" s="34">
        <v>48</v>
      </c>
      <c r="C119" s="23">
        <v>32037</v>
      </c>
      <c r="D119" s="23">
        <v>64.710509999999999</v>
      </c>
      <c r="E119" s="23">
        <v>210.5823</v>
      </c>
      <c r="F119" s="23">
        <v>194.6507</v>
      </c>
      <c r="G119" s="23">
        <v>218.65270000000001</v>
      </c>
      <c r="H119" s="23">
        <v>185.95160000000001</v>
      </c>
      <c r="I119" s="23">
        <v>200.6463</v>
      </c>
      <c r="J119" s="23">
        <v>612.21609999999998</v>
      </c>
      <c r="K119" s="24">
        <v>480.0607</v>
      </c>
      <c r="M119" s="37">
        <v>48</v>
      </c>
      <c r="N119" s="23">
        <v>11961</v>
      </c>
      <c r="O119" s="23">
        <v>22.6556</v>
      </c>
      <c r="P119" s="23">
        <v>137.11590000000001</v>
      </c>
      <c r="Q119" s="23">
        <v>113.0539</v>
      </c>
      <c r="R119" s="23">
        <v>150.29640000000001</v>
      </c>
      <c r="S119" s="23">
        <v>105.90560000000001</v>
      </c>
      <c r="T119" s="23">
        <v>121.3188</v>
      </c>
      <c r="U119" s="23">
        <v>620.10239999999999</v>
      </c>
      <c r="V119" s="24">
        <v>479.40429999999998</v>
      </c>
    </row>
  </sheetData>
  <mergeCells count="2">
    <mergeCell ref="B3:K3"/>
    <mergeCell ref="M3:V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57CF-9A16-48F9-B784-70965195258D}">
  <dimension ref="A1:K17"/>
  <sheetViews>
    <sheetView tabSelected="1" topLeftCell="B1" workbookViewId="0">
      <selection activeCell="I39" sqref="I39"/>
    </sheetView>
  </sheetViews>
  <sheetFormatPr defaultRowHeight="15" x14ac:dyDescent="0.25"/>
  <cols>
    <col min="1" max="1" width="10.7109375" bestFit="1" customWidth="1"/>
    <col min="2" max="2" width="10.28515625" bestFit="1" customWidth="1"/>
    <col min="3" max="3" width="9" bestFit="1" customWidth="1"/>
    <col min="4" max="5" width="9" customWidth="1"/>
    <col min="7" max="7" width="4.5703125" bestFit="1" customWidth="1"/>
    <col min="8" max="8" width="10.28515625" bestFit="1" customWidth="1"/>
    <col min="9" max="9" width="9" bestFit="1" customWidth="1"/>
  </cols>
  <sheetData>
    <row r="1" spans="1:11" x14ac:dyDescent="0.25">
      <c r="A1" s="3" t="s">
        <v>53</v>
      </c>
      <c r="B1" s="4">
        <v>1.2107985796049701</v>
      </c>
    </row>
    <row r="3" spans="1:11" x14ac:dyDescent="0.25">
      <c r="A3" s="41" t="s">
        <v>60</v>
      </c>
      <c r="B3" s="42"/>
      <c r="C3" s="42"/>
      <c r="D3" s="42"/>
      <c r="E3" s="43"/>
      <c r="G3" s="38" t="s">
        <v>61</v>
      </c>
      <c r="H3" s="39"/>
      <c r="I3" s="39"/>
      <c r="J3" s="39"/>
      <c r="K3" s="40"/>
    </row>
    <row r="4" spans="1:11" x14ac:dyDescent="0.25">
      <c r="A4" s="5" t="s">
        <v>0</v>
      </c>
      <c r="B4" s="1" t="s">
        <v>58</v>
      </c>
      <c r="C4" s="1" t="s">
        <v>59</v>
      </c>
      <c r="D4" s="1" t="s">
        <v>55</v>
      </c>
      <c r="E4" s="25" t="s">
        <v>62</v>
      </c>
      <c r="G4" s="5" t="s">
        <v>0</v>
      </c>
      <c r="H4" s="1" t="s">
        <v>58</v>
      </c>
      <c r="I4" s="1" t="s">
        <v>59</v>
      </c>
      <c r="J4" s="1" t="s">
        <v>55</v>
      </c>
      <c r="K4" s="25" t="s">
        <v>62</v>
      </c>
    </row>
    <row r="5" spans="1:11" x14ac:dyDescent="0.25">
      <c r="A5" s="5">
        <v>0</v>
      </c>
      <c r="B5" s="2">
        <f>AVERAGE('CTRL Condition'!C7,'CTRL Condition'!C15,'CTRL Condition'!C23,'CTRL Condition'!C31,'CTRL Condition'!C39,'CTRL Condition'!C47,'CTRL Condition'!C55,'CTRL Condition'!C63,'CTRL Condition'!C71,'CTRL Condition'!C79,'CTRL Condition'!C87,'CTRL Condition'!C95,'CTRL Condition'!C103,'CTRL Condition'!C111,'CTRL Condition'!C119,'CTRL Condition'!C127,'CTRL Condition'!C135,'CTRL Condition'!C143,'CTRL Condition'!C151,'CTRL Condition'!C159,'CTRL Condition'!C167,'CTRL Condition'!C177,'CTRL Condition'!C185,'CTRL Condition'!C193)</f>
        <v>21688.75</v>
      </c>
      <c r="C5" s="2">
        <f>B5*$B$1^2</f>
        <v>31796.427574598863</v>
      </c>
      <c r="D5" s="2">
        <f>C5/C$5</f>
        <v>1</v>
      </c>
      <c r="E5" s="6">
        <f>STDEV('CTRL Condition'!C7,'CTRL Condition'!C15,'CTRL Condition'!C23,'CTRL Condition'!C31,'CTRL Condition'!C39,'CTRL Condition'!C47,'CTRL Condition'!C55,'CTRL Condition'!C63,'CTRL Condition'!C71,'CTRL Condition'!C79,'CTRL Condition'!C87,'CTRL Condition'!C95,'CTRL Condition'!C103,'CTRL Condition'!C111,'CTRL Condition'!C119,'CTRL Condition'!C127,'CTRL Condition'!C135,'CTRL Condition'!C143,'CTRL Condition'!C151,'CTRL Condition'!C159,'CTRL Condition'!C167,'CTRL Condition'!C177,'CTRL Condition'!C185,'CTRL Condition'!C193)*B$1*B$1/SQRT(COUNT('CTRL Condition'!C7,'CTRL Condition'!C15,'CTRL Condition'!C23,'CTRL Condition'!C31,'CTRL Condition'!C39,'CTRL Condition'!C47,'CTRL Condition'!C55,'CTRL Condition'!C63,'CTRL Condition'!C71,'CTRL Condition'!C79,'CTRL Condition'!C87,'CTRL Condition'!C95,'CTRL Condition'!C103,'CTRL Condition'!C111,'CTRL Condition'!C119,'CTRL Condition'!C127,'CTRL Condition'!C135,'CTRL Condition'!C143,'CTRL Condition'!C151,'CTRL Condition'!C159,'CTRL Condition'!C167,'CTRL Condition'!C177,'CTRL Condition'!C185,'CTRL Condition'!C193))</f>
        <v>1496.2386052358245</v>
      </c>
      <c r="G5" s="5">
        <v>0</v>
      </c>
      <c r="H5" s="2">
        <f>AVERAGE('CTRL Condition'!N7,'CTRL Condition'!N15,'CTRL Condition'!N23,'CTRL Condition'!N31,'CTRL Condition'!N39,'CTRL Condition'!N47,'CTRL Condition'!N55,'CTRL Condition'!N63,'CTRL Condition'!N71,'CTRL Condition'!N79,'CTRL Condition'!N87,'CTRL Condition'!N95,'CTRL Condition'!N103,'CTRL Condition'!N111,'CTRL Condition'!N119,'CTRL Condition'!N127,'CTRL Condition'!N135,'CTRL Condition'!N143,'CTRL Condition'!N151,'CTRL Condition'!N159,'CTRL Condition'!N167,'CTRL Condition'!N177,'CTRL Condition'!N185,'CTRL Condition'!N193)</f>
        <v>7551.791666666667</v>
      </c>
      <c r="I5" s="2">
        <f>H5*$B$1^2</f>
        <v>11071.177305636606</v>
      </c>
      <c r="J5" s="2">
        <f>I5/I$5</f>
        <v>1</v>
      </c>
      <c r="K5" s="6">
        <f>STDEV('CTRL Condition'!N7,'CTRL Condition'!N15,'CTRL Condition'!N23,'CTRL Condition'!N31,'CTRL Condition'!N39,'CTRL Condition'!N47,'CTRL Condition'!N55,'CTRL Condition'!N63,'CTRL Condition'!N71,'CTRL Condition'!N79,'CTRL Condition'!N87,'CTRL Condition'!N95,'CTRL Condition'!N103,'CTRL Condition'!N111,'CTRL Condition'!N119,'CTRL Condition'!N127,'CTRL Condition'!N135,'CTRL Condition'!N143,'CTRL Condition'!N151,'CTRL Condition'!N159,'CTRL Condition'!N167,'CTRL Condition'!N177,'CTRL Condition'!N185,'CTRL Condition'!N193)/SQRT(COUNT('CTRL Condition'!N7,'CTRL Condition'!N15,'CTRL Condition'!N23,'CTRL Condition'!N31,'CTRL Condition'!N39,'CTRL Condition'!N47,'CTRL Condition'!N55,'CTRL Condition'!N63,'CTRL Condition'!N71,'CTRL Condition'!N79,'CTRL Condition'!N87,'CTRL Condition'!N95,'CTRL Condition'!N103,'CTRL Condition'!N111,'CTRL Condition'!N119,'CTRL Condition'!N127,'CTRL Condition'!N135,'CTRL Condition'!N143,'CTRL Condition'!N151,'CTRL Condition'!N159,'CTRL Condition'!N167,'CTRL Condition'!N177,'CTRL Condition'!N185,'CTRL Condition'!N193))*B$1*B$1</f>
        <v>777.72337851552902</v>
      </c>
    </row>
    <row r="6" spans="1:11" x14ac:dyDescent="0.25">
      <c r="A6" s="5">
        <v>12</v>
      </c>
      <c r="B6" s="2">
        <f>AVERAGE('CTRL Condition'!C8,'CTRL Condition'!C16,'CTRL Condition'!C24,'CTRL Condition'!C32,'CTRL Condition'!C40,'CTRL Condition'!C48,'CTRL Condition'!C56,'CTRL Condition'!C64,'CTRL Condition'!C72,'CTRL Condition'!C80,'CTRL Condition'!C88,'CTRL Condition'!C96,'CTRL Condition'!C104,'CTRL Condition'!C112,'CTRL Condition'!C120,'CTRL Condition'!C128,'CTRL Condition'!C136,'CTRL Condition'!C144,'CTRL Condition'!C152,'CTRL Condition'!C160,'CTRL Condition'!C168,'CTRL Condition'!C178,'CTRL Condition'!C186,'CTRL Condition'!C194)</f>
        <v>33713</v>
      </c>
      <c r="C6" s="2">
        <f t="shared" ref="C6:C9" si="0">B6*$B$1^2</f>
        <v>49424.377284188879</v>
      </c>
      <c r="D6" s="2">
        <f t="shared" ref="D6:D9" si="1">C6/C$5</f>
        <v>1.5544003227479686</v>
      </c>
      <c r="E6" s="6">
        <f>STDEV('CTRL Condition'!C8,'CTRL Condition'!C16,'CTRL Condition'!C24,'CTRL Condition'!C32,'CTRL Condition'!C40,'CTRL Condition'!C48,'CTRL Condition'!C56,'CTRL Condition'!C64,'CTRL Condition'!C72,'CTRL Condition'!C80,'CTRL Condition'!C88,'CTRL Condition'!C96,'CTRL Condition'!C104,'CTRL Condition'!C112,'CTRL Condition'!C120,'CTRL Condition'!C128,'CTRL Condition'!C136,'CTRL Condition'!C144,'CTRL Condition'!C152,'CTRL Condition'!C160,'CTRL Condition'!C168,'CTRL Condition'!C178,'CTRL Condition'!C186,'CTRL Condition'!C194)*B$1*B$1/SQRT(COUNT('CTRL Condition'!C8,'CTRL Condition'!C16,'CTRL Condition'!C24,'CTRL Condition'!C32,'CTRL Condition'!C40,'CTRL Condition'!C48,'CTRL Condition'!C56,'CTRL Condition'!C64,'CTRL Condition'!C72,'CTRL Condition'!C80,'CTRL Condition'!C88,'CTRL Condition'!C96,'CTRL Condition'!C104,'CTRL Condition'!C112,'CTRL Condition'!C120,'CTRL Condition'!C128,'CTRL Condition'!C136,'CTRL Condition'!C144,'CTRL Condition'!C152,'CTRL Condition'!C160,'CTRL Condition'!C168,'CTRL Condition'!C178,'CTRL Condition'!C186,'CTRL Condition'!C194))</f>
        <v>2419.3917761351786</v>
      </c>
      <c r="G6" s="5">
        <v>12</v>
      </c>
      <c r="H6" s="2">
        <f>AVERAGE('CTRL Condition'!N8,'CTRL Condition'!N16,'CTRL Condition'!N24,'CTRL Condition'!N32,'CTRL Condition'!N40,'CTRL Condition'!N48,'CTRL Condition'!N56,'CTRL Condition'!N64,'CTRL Condition'!N72,'CTRL Condition'!N80,'CTRL Condition'!N88,'CTRL Condition'!N96,'CTRL Condition'!N104,'CTRL Condition'!N112,'CTRL Condition'!N120,'CTRL Condition'!N128,'CTRL Condition'!N136,'CTRL Condition'!N144,'CTRL Condition'!N152,'CTRL Condition'!N160,'CTRL Condition'!N168,'CTRL Condition'!N178,'CTRL Condition'!N186,'CTRL Condition'!N194)</f>
        <v>11091.208333333334</v>
      </c>
      <c r="I6" s="2">
        <f t="shared" ref="I6:I9" si="2">H6*$B$1^2</f>
        <v>16260.079648924937</v>
      </c>
      <c r="J6" s="2">
        <f t="shared" ref="J6:J9" si="3">I6/I$5</f>
        <v>1.4686856871713665</v>
      </c>
      <c r="K6" s="6">
        <f>STDEV('CTRL Condition'!N8,'CTRL Condition'!N16,'CTRL Condition'!N24,'CTRL Condition'!N32,'CTRL Condition'!N40,'CTRL Condition'!N48,'CTRL Condition'!N56,'CTRL Condition'!N64,'CTRL Condition'!N72,'CTRL Condition'!N80,'CTRL Condition'!N88,'CTRL Condition'!N96,'CTRL Condition'!N104,'CTRL Condition'!N112,'CTRL Condition'!N120,'CTRL Condition'!N128,'CTRL Condition'!N136,'CTRL Condition'!N144,'CTRL Condition'!N152,'CTRL Condition'!N160,'CTRL Condition'!N168,'CTRL Condition'!N178,'CTRL Condition'!N186,'CTRL Condition'!N194)/SQRT(COUNT('CTRL Condition'!N8,'CTRL Condition'!N16,'CTRL Condition'!N24,'CTRL Condition'!N32,'CTRL Condition'!N40,'CTRL Condition'!N48,'CTRL Condition'!N56,'CTRL Condition'!N64,'CTRL Condition'!N72,'CTRL Condition'!N80,'CTRL Condition'!N88,'CTRL Condition'!N96,'CTRL Condition'!N104,'CTRL Condition'!N112,'CTRL Condition'!N120,'CTRL Condition'!N128,'CTRL Condition'!N136,'CTRL Condition'!N144,'CTRL Condition'!N152,'CTRL Condition'!N160,'CTRL Condition'!N168,'CTRL Condition'!N178,'CTRL Condition'!N186,'CTRL Condition'!N194))*B$1*B$1</f>
        <v>1078.777193999397</v>
      </c>
    </row>
    <row r="7" spans="1:11" x14ac:dyDescent="0.25">
      <c r="A7" s="5">
        <v>24</v>
      </c>
      <c r="B7" s="2">
        <f>AVERAGE('CTRL Condition'!C9,'CTRL Condition'!C17,'CTRL Condition'!C25,'CTRL Condition'!C33,'CTRL Condition'!C41,'CTRL Condition'!C49,'CTRL Condition'!C57,'CTRL Condition'!C65,'CTRL Condition'!C73,'CTRL Condition'!C81,'CTRL Condition'!C89,'CTRL Condition'!C97,'CTRL Condition'!C105,'CTRL Condition'!C113,'CTRL Condition'!C121,'CTRL Condition'!C129,'CTRL Condition'!C137,'CTRL Condition'!C145,'CTRL Condition'!C153,'CTRL Condition'!C161,'CTRL Condition'!C169,'CTRL Condition'!C179,'CTRL Condition'!C187,'CTRL Condition'!C195)</f>
        <v>52215.458333333336</v>
      </c>
      <c r="C7" s="2">
        <f t="shared" si="0"/>
        <v>76549.595489381274</v>
      </c>
      <c r="D7" s="2">
        <f t="shared" si="1"/>
        <v>2.4074904424336734</v>
      </c>
      <c r="E7" s="6">
        <f>STDEV('CTRL Condition'!C9,'CTRL Condition'!C17,'CTRL Condition'!C25,'CTRL Condition'!C33,'CTRL Condition'!C41,'CTRL Condition'!C49,'CTRL Condition'!C57,'CTRL Condition'!C65,'CTRL Condition'!C73,'CTRL Condition'!C81,'CTRL Condition'!C89,'CTRL Condition'!C97,'CTRL Condition'!C105,'CTRL Condition'!C113,'CTRL Condition'!C121,'CTRL Condition'!C129,'CTRL Condition'!C137,'CTRL Condition'!C145,'CTRL Condition'!C153,'CTRL Condition'!C161,'CTRL Condition'!C169,'CTRL Condition'!C179,'CTRL Condition'!C187,'CTRL Condition'!C195)*B$1*B$1/SQRT(COUNT('CTRL Condition'!C9,'CTRL Condition'!C17,'CTRL Condition'!C25,'CTRL Condition'!C33,'CTRL Condition'!C41,'CTRL Condition'!C49,'CTRL Condition'!C57,'CTRL Condition'!C65,'CTRL Condition'!C73,'CTRL Condition'!C81,'CTRL Condition'!C89,'CTRL Condition'!C97,'CTRL Condition'!C105,'CTRL Condition'!C113,'CTRL Condition'!C121,'CTRL Condition'!C129,'CTRL Condition'!C137,'CTRL Condition'!C145,'CTRL Condition'!C153,'CTRL Condition'!C161,'CTRL Condition'!C169,'CTRL Condition'!C179,'CTRL Condition'!C187,'CTRL Condition'!C195))</f>
        <v>3898.5583206330539</v>
      </c>
      <c r="G7" s="5">
        <v>24</v>
      </c>
      <c r="H7" s="2">
        <f>AVERAGE('CTRL Condition'!N9,'CTRL Condition'!N17,'CTRL Condition'!N25,'CTRL Condition'!N33,'CTRL Condition'!N41,'CTRL Condition'!N49,'CTRL Condition'!N57,'CTRL Condition'!N65,'CTRL Condition'!N73,'CTRL Condition'!N81,'CTRL Condition'!N89,'CTRL Condition'!N97,'CTRL Condition'!N105,'CTRL Condition'!N113,'CTRL Condition'!N121,'CTRL Condition'!N129,'CTRL Condition'!N137,'CTRL Condition'!N145,'CTRL Condition'!N153,'CTRL Condition'!N161,'CTRL Condition'!N169,'CTRL Condition'!N179,'CTRL Condition'!N187,'CTRL Condition'!N195)</f>
        <v>15342.375</v>
      </c>
      <c r="I7" s="2">
        <f t="shared" si="2"/>
        <v>22492.431122579044</v>
      </c>
      <c r="J7" s="2">
        <f t="shared" si="3"/>
        <v>2.0316205315515634</v>
      </c>
      <c r="K7" s="6">
        <f>STDEV('CTRL Condition'!N9,'CTRL Condition'!N17,'CTRL Condition'!N25,'CTRL Condition'!N33,'CTRL Condition'!N41,'CTRL Condition'!N49,'CTRL Condition'!N57,'CTRL Condition'!N65,'CTRL Condition'!N73,'CTRL Condition'!N81,'CTRL Condition'!N89,'CTRL Condition'!N97,'CTRL Condition'!N105,'CTRL Condition'!N113,'CTRL Condition'!N121,'CTRL Condition'!N129,'CTRL Condition'!N137,'CTRL Condition'!N145,'CTRL Condition'!N153,'CTRL Condition'!N161,'CTRL Condition'!N169,'CTRL Condition'!N179,'CTRL Condition'!N187,'CTRL Condition'!N195)/SQRT(COUNT('CTRL Condition'!N9,'CTRL Condition'!N17,'CTRL Condition'!N25,'CTRL Condition'!N33,'CTRL Condition'!N41,'CTRL Condition'!N49,'CTRL Condition'!N57,'CTRL Condition'!N65,'CTRL Condition'!N73,'CTRL Condition'!N81,'CTRL Condition'!N89,'CTRL Condition'!N97,'CTRL Condition'!N105,'CTRL Condition'!N113,'CTRL Condition'!N121,'CTRL Condition'!N129,'CTRL Condition'!N137,'CTRL Condition'!N145,'CTRL Condition'!N153,'CTRL Condition'!N161,'CTRL Condition'!N169,'CTRL Condition'!N179,'CTRL Condition'!N187,'CTRL Condition'!N195))*B$1*B$1</f>
        <v>1333.489341997845</v>
      </c>
    </row>
    <row r="8" spans="1:11" x14ac:dyDescent="0.25">
      <c r="A8" s="5">
        <v>36</v>
      </c>
      <c r="B8" s="2">
        <f>AVERAGE('CTRL Condition'!C10,'CTRL Condition'!C18,'CTRL Condition'!C26,'CTRL Condition'!C34,'CTRL Condition'!C42,'CTRL Condition'!C50,'CTRL Condition'!C58,'CTRL Condition'!C66,'CTRL Condition'!C74,'CTRL Condition'!C82,'CTRL Condition'!C90,'CTRL Condition'!C98,'CTRL Condition'!C106,'CTRL Condition'!C114,'CTRL Condition'!C122,'CTRL Condition'!C130,'CTRL Condition'!C138,'CTRL Condition'!C146,'CTRL Condition'!C154,'CTRL Condition'!C162,'CTRL Condition'!C170,'CTRL Condition'!C180,'CTRL Condition'!C188,'CTRL Condition'!C196)</f>
        <v>51604.958333333336</v>
      </c>
      <c r="C8" s="2">
        <f t="shared" si="0"/>
        <v>75654.582220553304</v>
      </c>
      <c r="D8" s="2">
        <f t="shared" si="1"/>
        <v>2.379342208902465</v>
      </c>
      <c r="E8" s="6">
        <f>STDEV('CTRL Condition'!C10,'CTRL Condition'!C18,'CTRL Condition'!C26,'CTRL Condition'!C34,'CTRL Condition'!C42,'CTRL Condition'!C50,'CTRL Condition'!C58,'CTRL Condition'!C66,'CTRL Condition'!C74,'CTRL Condition'!C82,'CTRL Condition'!C90,'CTRL Condition'!C98,'CTRL Condition'!C106,'CTRL Condition'!C114,'CTRL Condition'!C122,'CTRL Condition'!C130,'CTRL Condition'!C138,'CTRL Condition'!C146,'CTRL Condition'!C154,'CTRL Condition'!C162,'CTRL Condition'!C170,'CTRL Condition'!C180,'CTRL Condition'!C188,'CTRL Condition'!C196)*B$1*B$1/SQRT(COUNT('CTRL Condition'!C10,'CTRL Condition'!C18,'CTRL Condition'!C26,'CTRL Condition'!C34,'CTRL Condition'!C42,'CTRL Condition'!C50,'CTRL Condition'!C58,'CTRL Condition'!C66,'CTRL Condition'!C74,'CTRL Condition'!C82,'CTRL Condition'!C90,'CTRL Condition'!C98,'CTRL Condition'!C106,'CTRL Condition'!C114,'CTRL Condition'!C122,'CTRL Condition'!C130,'CTRL Condition'!C138,'CTRL Condition'!C146,'CTRL Condition'!C154,'CTRL Condition'!C162,'CTRL Condition'!C170,'CTRL Condition'!C180,'CTRL Condition'!C188,'CTRL Condition'!C196))</f>
        <v>3875.2852333856063</v>
      </c>
      <c r="G8" s="5">
        <v>36</v>
      </c>
      <c r="H8" s="2">
        <f>AVERAGE('CTRL Condition'!N10,'CTRL Condition'!N18,'CTRL Condition'!N26,'CTRL Condition'!N34,'CTRL Condition'!N42,'CTRL Condition'!N50,'CTRL Condition'!N58,'CTRL Condition'!N66,'CTRL Condition'!N74,'CTRL Condition'!N82,'CTRL Condition'!N90,'CTRL Condition'!N98,'CTRL Condition'!N106,'CTRL Condition'!N114,'CTRL Condition'!N122,'CTRL Condition'!N130,'CTRL Condition'!N138,'CTRL Condition'!N146,'CTRL Condition'!N154,'CTRL Condition'!N162,'CTRL Condition'!N170,'CTRL Condition'!N180,'CTRL Condition'!N188,'CTRL Condition'!N196)</f>
        <v>15432.5</v>
      </c>
      <c r="I8" s="2">
        <f t="shared" si="2"/>
        <v>22624.557364762699</v>
      </c>
      <c r="J8" s="2">
        <f t="shared" si="3"/>
        <v>2.0435547855641323</v>
      </c>
      <c r="K8" s="6">
        <f>STDEV('CTRL Condition'!N10,'CTRL Condition'!N18,'CTRL Condition'!N26,'CTRL Condition'!N34,'CTRL Condition'!N42,'CTRL Condition'!N50,'CTRL Condition'!N58,'CTRL Condition'!N66,'CTRL Condition'!N74,'CTRL Condition'!N82,'CTRL Condition'!N90,'CTRL Condition'!N98,'CTRL Condition'!N106,'CTRL Condition'!N114,'CTRL Condition'!N122,'CTRL Condition'!N130,'CTRL Condition'!N138,'CTRL Condition'!N146,'CTRL Condition'!N154,'CTRL Condition'!N162,'CTRL Condition'!N170,'CTRL Condition'!N180,'CTRL Condition'!N188,'CTRL Condition'!N196)/SQRT(COUNT('CTRL Condition'!N10,'CTRL Condition'!N18,'CTRL Condition'!N26,'CTRL Condition'!N34,'CTRL Condition'!N42,'CTRL Condition'!N50,'CTRL Condition'!N58,'CTRL Condition'!N66,'CTRL Condition'!N74,'CTRL Condition'!N82,'CTRL Condition'!N90,'CTRL Condition'!N98,'CTRL Condition'!N106,'CTRL Condition'!N114,'CTRL Condition'!N122,'CTRL Condition'!N130,'CTRL Condition'!N138,'CTRL Condition'!N146,'CTRL Condition'!N154,'CTRL Condition'!N162,'CTRL Condition'!N170,'CTRL Condition'!N180,'CTRL Condition'!N188,'CTRL Condition'!N196))*B$1*B$1</f>
        <v>1570.4603424724032</v>
      </c>
    </row>
    <row r="9" spans="1:11" x14ac:dyDescent="0.25">
      <c r="A9" s="11">
        <v>48</v>
      </c>
      <c r="B9" s="12">
        <f>AVERAGE('CTRL Condition'!C11,'CTRL Condition'!C19,'CTRL Condition'!C27,'CTRL Condition'!C35,'CTRL Condition'!C43,'CTRL Condition'!C51,'CTRL Condition'!C59,'CTRL Condition'!C67,'CTRL Condition'!C75,'CTRL Condition'!C83,'CTRL Condition'!C91,'CTRL Condition'!C99,'CTRL Condition'!C107,'CTRL Condition'!C115,'CTRL Condition'!C123,'CTRL Condition'!C131,'CTRL Condition'!C139,'CTRL Condition'!C147,'CTRL Condition'!C155,'CTRL Condition'!C163,'CTRL Condition'!C171,'CTRL Condition'!C181,'CTRL Condition'!C189,'CTRL Condition'!C197)</f>
        <v>51733.666666666664</v>
      </c>
      <c r="C9" s="12">
        <f t="shared" si="0"/>
        <v>75843.272910384694</v>
      </c>
      <c r="D9" s="12">
        <f t="shared" si="1"/>
        <v>2.3852765450598428</v>
      </c>
      <c r="E9" s="13">
        <f>STDEV('CTRL Condition'!C11,'CTRL Condition'!C19,'CTRL Condition'!C27,'CTRL Condition'!C35,'CTRL Condition'!C43,'CTRL Condition'!C51,'CTRL Condition'!C59,'CTRL Condition'!C67,'CTRL Condition'!C75,'CTRL Condition'!C83,'CTRL Condition'!C91,'CTRL Condition'!C99,'CTRL Condition'!C107,'CTRL Condition'!C115,'CTRL Condition'!C123,'CTRL Condition'!C131,'CTRL Condition'!C139,'CTRL Condition'!C147,'CTRL Condition'!C155,'CTRL Condition'!C163,'CTRL Condition'!C171,'CTRL Condition'!C181,'CTRL Condition'!C189,'CTRL Condition'!C197)*B$1*B$1/SQRT(COUNT('CTRL Condition'!C11,'CTRL Condition'!C19,'CTRL Condition'!C27,'CTRL Condition'!C35,'CTRL Condition'!C43,'CTRL Condition'!C51,'CTRL Condition'!C59,'CTRL Condition'!C67,'CTRL Condition'!C75,'CTRL Condition'!C83,'CTRL Condition'!C91,'CTRL Condition'!C99,'CTRL Condition'!C107,'CTRL Condition'!C115,'CTRL Condition'!C123,'CTRL Condition'!C131,'CTRL Condition'!C139,'CTRL Condition'!C147,'CTRL Condition'!C155,'CTRL Condition'!C163,'CTRL Condition'!C171,'CTRL Condition'!C181,'CTRL Condition'!C189,'CTRL Condition'!C197))</f>
        <v>3771.1641061329055</v>
      </c>
      <c r="G9" s="11">
        <v>48</v>
      </c>
      <c r="H9" s="12">
        <f>AVERAGE('CTRL Condition'!N11,'CTRL Condition'!N19,'CTRL Condition'!N27,'CTRL Condition'!N35,'CTRL Condition'!N43,'CTRL Condition'!N51,'CTRL Condition'!N59,'CTRL Condition'!N67,'CTRL Condition'!N75,'CTRL Condition'!N83,'CTRL Condition'!N91,'CTRL Condition'!N99,'CTRL Condition'!N107,'CTRL Condition'!N115,'CTRL Condition'!N123,'CTRL Condition'!N131,'CTRL Condition'!N139,'CTRL Condition'!N147,'CTRL Condition'!N155,'CTRL Condition'!N163,'CTRL Condition'!N171,'CTRL Condition'!N181,'CTRL Condition'!N189,'CTRL Condition'!N197)</f>
        <v>16277.75</v>
      </c>
      <c r="I9" s="12">
        <f t="shared" si="2"/>
        <v>23863.721927378327</v>
      </c>
      <c r="J9" s="12">
        <f t="shared" si="3"/>
        <v>2.1554818668858933</v>
      </c>
      <c r="K9" s="13">
        <f>STDEV('CTRL Condition'!N11,'CTRL Condition'!N19,'CTRL Condition'!N27,'CTRL Condition'!N35,'CTRL Condition'!N43,'CTRL Condition'!N51,'CTRL Condition'!N59,'CTRL Condition'!N67,'CTRL Condition'!N75,'CTRL Condition'!N83,'CTRL Condition'!N91,'CTRL Condition'!N99,'CTRL Condition'!N107,'CTRL Condition'!N115,'CTRL Condition'!N123,'CTRL Condition'!N131,'CTRL Condition'!N139,'CTRL Condition'!N147,'CTRL Condition'!N155,'CTRL Condition'!N163,'CTRL Condition'!N171,'CTRL Condition'!N181,'CTRL Condition'!N189,'CTRL Condition'!N197)/SQRT(COUNT('CTRL Condition'!N11,'CTRL Condition'!N19,'CTRL Condition'!N27,'CTRL Condition'!N35,'CTRL Condition'!N43,'CTRL Condition'!N51,'CTRL Condition'!N59,'CTRL Condition'!N67,'CTRL Condition'!N75,'CTRL Condition'!N83,'CTRL Condition'!N91,'CTRL Condition'!N99,'CTRL Condition'!N107,'CTRL Condition'!N115,'CTRL Condition'!N123,'CTRL Condition'!N131,'CTRL Condition'!N139,'CTRL Condition'!N147,'CTRL Condition'!N155,'CTRL Condition'!N163,'CTRL Condition'!N171,'CTRL Condition'!N181,'CTRL Condition'!N189,'CTRL Condition'!N197))*B$1*B$1</f>
        <v>1502.0557803917902</v>
      </c>
    </row>
    <row r="11" spans="1:11" x14ac:dyDescent="0.25">
      <c r="A11" s="41" t="s">
        <v>60</v>
      </c>
      <c r="B11" s="42"/>
      <c r="C11" s="42"/>
      <c r="D11" s="42"/>
      <c r="E11" s="43"/>
      <c r="G11" s="38" t="s">
        <v>61</v>
      </c>
      <c r="H11" s="39"/>
      <c r="I11" s="39"/>
      <c r="J11" s="39"/>
      <c r="K11" s="40"/>
    </row>
    <row r="12" spans="1:11" x14ac:dyDescent="0.25">
      <c r="A12" s="5" t="s">
        <v>0</v>
      </c>
      <c r="B12" s="1" t="s">
        <v>58</v>
      </c>
      <c r="C12" s="1" t="s">
        <v>59</v>
      </c>
      <c r="D12" s="1" t="s">
        <v>55</v>
      </c>
      <c r="E12" s="25" t="s">
        <v>62</v>
      </c>
      <c r="G12" s="5" t="s">
        <v>0</v>
      </c>
      <c r="H12" s="1" t="s">
        <v>58</v>
      </c>
      <c r="I12" s="1" t="s">
        <v>59</v>
      </c>
      <c r="J12" s="1" t="s">
        <v>55</v>
      </c>
      <c r="K12" s="25" t="s">
        <v>62</v>
      </c>
    </row>
    <row r="13" spans="1:11" x14ac:dyDescent="0.25">
      <c r="A13" s="5">
        <v>0</v>
      </c>
      <c r="B13" s="2">
        <f>AVERAGE('Gradient condition'!C9,'Gradient condition'!C17,'Gradient condition'!C25,'Gradient condition'!C33,'Gradient condition'!C41,'Gradient condition'!C51,'Gradient condition'!C59,'Gradient condition'!C67,'Gradient condition'!C75,'Gradient condition'!C83,'Gradient condition'!C91,'Gradient condition'!C99,'Gradient condition'!C107,'Gradient condition'!C115)</f>
        <v>18394.642857142859</v>
      </c>
      <c r="C13" s="2">
        <f>B13*$B$1^2</f>
        <v>26967.15713758309</v>
      </c>
      <c r="D13" s="2">
        <f>C13/C$13</f>
        <v>1</v>
      </c>
      <c r="E13" s="6">
        <f>STDEV('Gradient condition'!C9,'Gradient condition'!C17,'Gradient condition'!C25,'Gradient condition'!C33,'Gradient condition'!C41,'Gradient condition'!C51,'Gradient condition'!C59,'Gradient condition'!C67,'Gradient condition'!C75,'Gradient condition'!C83,'Gradient condition'!C91,'Gradient condition'!C99,'Gradient condition'!C107,'Gradient condition'!C115)/SQRT(COUNT('Gradient condition'!C9,'Gradient condition'!C17,'Gradient condition'!C25,'Gradient condition'!C33,'Gradient condition'!C41,'Gradient condition'!C51,'Gradient condition'!C59,'Gradient condition'!C67,'Gradient condition'!C75,'Gradient condition'!C83,'Gradient condition'!C91,'Gradient condition'!C99,'Gradient condition'!C107,'Gradient condition'!C115))*B$1*B$1</f>
        <v>4862.8407650578411</v>
      </c>
      <c r="G13" s="5">
        <v>0</v>
      </c>
      <c r="H13" s="2">
        <f>AVERAGE('Gradient condition'!N9,'Gradient condition'!N17,'Gradient condition'!N25,'Gradient condition'!N33,'Gradient condition'!N41,'Gradient condition'!N51,'Gradient condition'!N59,'Gradient condition'!N67,'Gradient condition'!N75,'Gradient condition'!N83,'Gradient condition'!N91,'Gradient condition'!N99,'Gradient condition'!N107,'Gradient condition'!N115)</f>
        <v>7749.5</v>
      </c>
      <c r="I13" s="2">
        <f>H13*$B$1^2</f>
        <v>11361.024286293765</v>
      </c>
      <c r="J13" s="2">
        <f>I13/I$13</f>
        <v>1</v>
      </c>
      <c r="K13" s="6">
        <f>STDEV('Gradient condition'!N9,'Gradient condition'!N17,'Gradient condition'!N25,'Gradient condition'!N33,'Gradient condition'!N41,'Gradient condition'!N51,'Gradient condition'!N59,'Gradient condition'!N67,'Gradient condition'!N75,'Gradient condition'!N83,'Gradient condition'!N91,'Gradient condition'!N99,'Gradient condition'!N107,'Gradient condition'!N115)/SQRT(COUNT('Gradient condition'!N9,'Gradient condition'!N17,'Gradient condition'!N25,'Gradient condition'!N33,'Gradient condition'!N41,'Gradient condition'!N51,'Gradient condition'!N59,'Gradient condition'!N67,'Gradient condition'!N75,'Gradient condition'!N83,'Gradient condition'!N91,'Gradient condition'!N99,'Gradient condition'!N107,'Gradient condition'!N115))*B$1*B$1</f>
        <v>2614.409260685195</v>
      </c>
    </row>
    <row r="14" spans="1:11" x14ac:dyDescent="0.25">
      <c r="A14" s="5">
        <v>12</v>
      </c>
      <c r="B14" s="2">
        <f>AVERAGE('Gradient condition'!C10,'Gradient condition'!C18,'Gradient condition'!C26,'Gradient condition'!C34,'Gradient condition'!C42,'Gradient condition'!C52,'Gradient condition'!C60,'Gradient condition'!C68,'Gradient condition'!C76,'Gradient condition'!C84,'Gradient condition'!C92,'Gradient condition'!C100,'Gradient condition'!C108,'Gradient condition'!C116)</f>
        <v>28894.857142857141</v>
      </c>
      <c r="C14" s="2">
        <f t="shared" ref="C14:C17" si="4">B14*$B$1^2</f>
        <v>42360.819891475432</v>
      </c>
      <c r="D14" s="2">
        <f t="shared" ref="D14:D17" si="5">C14/C$13</f>
        <v>1.5708300165032518</v>
      </c>
      <c r="E14" s="6">
        <f>STDEV('Gradient condition'!C10,'Gradient condition'!C18,'Gradient condition'!C26,'Gradient condition'!C34,'Gradient condition'!C42,'Gradient condition'!C52,'Gradient condition'!C60,'Gradient condition'!C68,'Gradient condition'!C76,'Gradient condition'!C84,'Gradient condition'!C92,'Gradient condition'!C100,'Gradient condition'!C108,'Gradient condition'!C116)/SQRT(COUNT('Gradient condition'!C10,'Gradient condition'!C18,'Gradient condition'!C26,'Gradient condition'!C34,'Gradient condition'!C42,'Gradient condition'!C52,'Gradient condition'!C60,'Gradient condition'!C68,'Gradient condition'!C76,'Gradient condition'!C84,'Gradient condition'!C92,'Gradient condition'!C100,'Gradient condition'!C108,'Gradient condition'!C116))*B$1*B$1</f>
        <v>9248.3276334642815</v>
      </c>
      <c r="G14" s="5">
        <v>12</v>
      </c>
      <c r="H14" s="2">
        <f>AVERAGE('Gradient condition'!N10,'Gradient condition'!N18,'Gradient condition'!N26,'Gradient condition'!N34,'Gradient condition'!N42,'Gradient condition'!N52,'Gradient condition'!N60,'Gradient condition'!N68,'Gradient condition'!N76,'Gradient condition'!N84,'Gradient condition'!N92,'Gradient condition'!N100,'Gradient condition'!N108,'Gradient condition'!N116)</f>
        <v>9734</v>
      </c>
      <c r="I14" s="2">
        <f t="shared" ref="I14:I17" si="6">H14*$B$1^2</f>
        <v>14270.367172434804</v>
      </c>
      <c r="J14" s="2">
        <f t="shared" ref="J14:J17" si="7">I14/I$13</f>
        <v>1.2560810374862896</v>
      </c>
      <c r="K14" s="6">
        <f>STDEV('Gradient condition'!N10,'Gradient condition'!N18,'Gradient condition'!N26,'Gradient condition'!N34,'Gradient condition'!N42,'Gradient condition'!N52,'Gradient condition'!N60,'Gradient condition'!N68,'Gradient condition'!N76,'Gradient condition'!N84,'Gradient condition'!N92,'Gradient condition'!N100,'Gradient condition'!N108,'Gradient condition'!N116)/SQRT(COUNT('Gradient condition'!N10,'Gradient condition'!N18,'Gradient condition'!N26,'Gradient condition'!N34,'Gradient condition'!N42,'Gradient condition'!N52,'Gradient condition'!N60,'Gradient condition'!N68,'Gradient condition'!N76,'Gradient condition'!N84,'Gradient condition'!N92,'Gradient condition'!N100,'Gradient condition'!N108,'Gradient condition'!N116))*B$1*B$1</f>
        <v>3575.9562393185506</v>
      </c>
    </row>
    <row r="15" spans="1:11" x14ac:dyDescent="0.25">
      <c r="A15" s="5">
        <v>24</v>
      </c>
      <c r="B15" s="2">
        <f>AVERAGE('Gradient condition'!C11,'Gradient condition'!C19,'Gradient condition'!C27,'Gradient condition'!C35,'Gradient condition'!C43,'Gradient condition'!C53,'Gradient condition'!C61,'Gradient condition'!C69,'Gradient condition'!C77,'Gradient condition'!C85,'Gradient condition'!C93,'Gradient condition'!C101,'Gradient condition'!C109,'Gradient condition'!C117)</f>
        <v>37498</v>
      </c>
      <c r="C15" s="2">
        <f t="shared" si="4"/>
        <v>54973.312947602244</v>
      </c>
      <c r="D15" s="2">
        <f t="shared" si="5"/>
        <v>2.0385282982234734</v>
      </c>
      <c r="E15" s="6">
        <f>STDEV('Gradient condition'!C11,'Gradient condition'!C19,'Gradient condition'!C27,'Gradient condition'!C35,'Gradient condition'!C43,'Gradient condition'!C53,'Gradient condition'!C61,'Gradient condition'!C69,'Gradient condition'!C77,'Gradient condition'!C85,'Gradient condition'!C93,'Gradient condition'!C101,'Gradient condition'!C109,'Gradient condition'!C117)/SQRT(COUNT('Gradient condition'!C11,'Gradient condition'!C19,'Gradient condition'!C27,'Gradient condition'!C35,'Gradient condition'!C43,'Gradient condition'!C53,'Gradient condition'!C61,'Gradient condition'!C69,'Gradient condition'!C77,'Gradient condition'!C85,'Gradient condition'!C93,'Gradient condition'!C101,'Gradient condition'!C109,'Gradient condition'!C117))*B$1*B$1</f>
        <v>12006.669957530365</v>
      </c>
      <c r="G15" s="5">
        <v>24</v>
      </c>
      <c r="H15" s="2">
        <f>AVERAGE('Gradient condition'!N11,'Gradient condition'!N19,'Gradient condition'!N27,'Gradient condition'!N35,'Gradient condition'!N43,'Gradient condition'!N53,'Gradient condition'!N61,'Gradient condition'!N69,'Gradient condition'!N77,'Gradient condition'!N85,'Gradient condition'!N93,'Gradient condition'!N101,'Gradient condition'!N109,'Gradient condition'!N117)</f>
        <v>13394.76923076923</v>
      </c>
      <c r="I15" s="2">
        <f t="shared" si="6"/>
        <v>19637.176403647936</v>
      </c>
      <c r="J15" s="2">
        <f t="shared" si="7"/>
        <v>1.7284688342175922</v>
      </c>
      <c r="K15" s="6">
        <f>STDEV('Gradient condition'!N11,'Gradient condition'!N19,'Gradient condition'!N27,'Gradient condition'!N35,'Gradient condition'!N43,'Gradient condition'!N53,'Gradient condition'!N61,'Gradient condition'!N69,'Gradient condition'!N77,'Gradient condition'!N85,'Gradient condition'!N93,'Gradient condition'!N101,'Gradient condition'!N109,'Gradient condition'!N117)/SQRT(COUNT('Gradient condition'!N11,'Gradient condition'!N19,'Gradient condition'!N27,'Gradient condition'!N35,'Gradient condition'!N43,'Gradient condition'!N53,'Gradient condition'!N61,'Gradient condition'!N69,'Gradient condition'!N77,'Gradient condition'!N85,'Gradient condition'!N93,'Gradient condition'!N101,'Gradient condition'!N109,'Gradient condition'!N117))*B$1*B$1</f>
        <v>4571.2322376589027</v>
      </c>
    </row>
    <row r="16" spans="1:11" x14ac:dyDescent="0.25">
      <c r="A16" s="5">
        <v>36</v>
      </c>
      <c r="B16" s="2">
        <f>AVERAGE('Gradient condition'!C12,'Gradient condition'!C20,'Gradient condition'!C28,'Gradient condition'!C36,'Gradient condition'!C44,'Gradient condition'!C54,'Gradient condition'!C62,'Gradient condition'!C70,'Gradient condition'!C78,'Gradient condition'!C86,'Gradient condition'!C94,'Gradient condition'!C102,'Gradient condition'!C110,'Gradient condition'!C118)</f>
        <v>40104.785714285717</v>
      </c>
      <c r="C16" s="2">
        <f t="shared" si="4"/>
        <v>58794.94735100423</v>
      </c>
      <c r="D16" s="2">
        <f t="shared" si="5"/>
        <v>2.1802426948839919</v>
      </c>
      <c r="E16" s="6">
        <f>STDEV('Gradient condition'!C12,'Gradient condition'!C20,'Gradient condition'!C28,'Gradient condition'!C36,'Gradient condition'!C44,'Gradient condition'!C54,'Gradient condition'!C62,'Gradient condition'!C70,'Gradient condition'!C78,'Gradient condition'!C86,'Gradient condition'!C94,'Gradient condition'!C102,'Gradient condition'!C110,'Gradient condition'!C118)/SQRT(COUNT('Gradient condition'!C12,'Gradient condition'!C20,'Gradient condition'!C28,'Gradient condition'!C36,'Gradient condition'!C44,'Gradient condition'!C54,'Gradient condition'!C62,'Gradient condition'!C70,'Gradient condition'!C78,'Gradient condition'!C86,'Gradient condition'!C94,'Gradient condition'!C102,'Gradient condition'!C110,'Gradient condition'!C118))*B$1*B$1</f>
        <v>11326.633565974636</v>
      </c>
      <c r="G16" s="5">
        <v>36</v>
      </c>
      <c r="H16" s="2">
        <f>AVERAGE('Gradient condition'!N12,'Gradient condition'!N20,'Gradient condition'!N28,'Gradient condition'!N36,'Gradient condition'!N44,'Gradient condition'!N54,'Gradient condition'!N62,'Gradient condition'!N70,'Gradient condition'!N78,'Gradient condition'!N86,'Gradient condition'!N94,'Gradient condition'!N102,'Gradient condition'!N110,'Gradient condition'!N118)</f>
        <v>14012.214285714286</v>
      </c>
      <c r="I16" s="2">
        <f t="shared" si="6"/>
        <v>20542.371353603772</v>
      </c>
      <c r="J16" s="2">
        <f t="shared" si="7"/>
        <v>1.8081443042408265</v>
      </c>
      <c r="K16" s="6">
        <f>STDEV('Gradient condition'!N12,'Gradient condition'!N20,'Gradient condition'!N28,'Gradient condition'!N36,'Gradient condition'!N44,'Gradient condition'!N54,'Gradient condition'!N62,'Gradient condition'!N70,'Gradient condition'!N78,'Gradient condition'!N86,'Gradient condition'!N94,'Gradient condition'!N102,'Gradient condition'!N110,'Gradient condition'!N118)/SQRT(COUNT('Gradient condition'!N12,'Gradient condition'!N20,'Gradient condition'!N28,'Gradient condition'!N36,'Gradient condition'!N44,'Gradient condition'!N54,'Gradient condition'!N62,'Gradient condition'!N70,'Gradient condition'!N78,'Gradient condition'!N86,'Gradient condition'!N94,'Gradient condition'!N102,'Gradient condition'!N110,'Gradient condition'!N118))*B$1*B$1</f>
        <v>4047.4517687925959</v>
      </c>
    </row>
    <row r="17" spans="1:11" x14ac:dyDescent="0.25">
      <c r="A17" s="11">
        <v>48</v>
      </c>
      <c r="B17" s="12">
        <f>AVERAGE('Gradient condition'!C13,'Gradient condition'!C21,'Gradient condition'!C29,'Gradient condition'!C37,'Gradient condition'!C45,'Gradient condition'!C55,'Gradient condition'!C63,'Gradient condition'!C71,'Gradient condition'!C79,'Gradient condition'!C87,'Gradient condition'!C95,'Gradient condition'!C103,'Gradient condition'!C111,'Gradient condition'!C119)</f>
        <v>41001.285714285717</v>
      </c>
      <c r="C17" s="12">
        <f t="shared" si="4"/>
        <v>60109.246115138994</v>
      </c>
      <c r="D17" s="12">
        <f t="shared" si="5"/>
        <v>2.2289797107076983</v>
      </c>
      <c r="E17" s="13">
        <f>STDEV('Gradient condition'!C13,'Gradient condition'!C21,'Gradient condition'!C29,'Gradient condition'!C37,'Gradient condition'!C45,'Gradient condition'!C55,'Gradient condition'!C63,'Gradient condition'!C71,'Gradient condition'!C79,'Gradient condition'!C87,'Gradient condition'!C95,'Gradient condition'!C103,'Gradient condition'!C111,'Gradient condition'!C119)/SQRT(COUNT('Gradient condition'!C13,'Gradient condition'!C21,'Gradient condition'!C29,'Gradient condition'!C37,'Gradient condition'!C45,'Gradient condition'!C55,'Gradient condition'!C63,'Gradient condition'!C71,'Gradient condition'!C79,'Gradient condition'!C87,'Gradient condition'!C95,'Gradient condition'!C103,'Gradient condition'!C111,'Gradient condition'!C119))*B$1*B$1</f>
        <v>11561.295590139707</v>
      </c>
      <c r="G17" s="11">
        <v>48</v>
      </c>
      <c r="H17" s="12">
        <f>AVERAGE('Gradient condition'!N13,'Gradient condition'!N21,'Gradient condition'!N29,'Gradient condition'!N37,'Gradient condition'!N45,'Gradient condition'!N55,'Gradient condition'!N63,'Gradient condition'!N71,'Gradient condition'!N79,'Gradient condition'!N87,'Gradient condition'!N95,'Gradient condition'!N103,'Gradient condition'!N111,'Gradient condition'!N119)</f>
        <v>13546.785714285714</v>
      </c>
      <c r="I17" s="12">
        <f t="shared" si="6"/>
        <v>19860.037615487119</v>
      </c>
      <c r="J17" s="12">
        <f t="shared" si="7"/>
        <v>1.7480851299162159</v>
      </c>
      <c r="K17" s="13">
        <f>STDEV('Gradient condition'!N13,'Gradient condition'!N21,'Gradient condition'!N29,'Gradient condition'!N37,'Gradient condition'!N45,'Gradient condition'!N55,'Gradient condition'!N63,'Gradient condition'!N71,'Gradient condition'!N79,'Gradient condition'!N87,'Gradient condition'!N95,'Gradient condition'!N103,'Gradient condition'!N111,'Gradient condition'!N119)/SQRT(COUNT('Gradient condition'!N13,'Gradient condition'!N21,'Gradient condition'!N29,'Gradient condition'!N37,'Gradient condition'!N45,'Gradient condition'!N55,'Gradient condition'!N63,'Gradient condition'!N71,'Gradient condition'!N79,'Gradient condition'!N87,'Gradient condition'!N95,'Gradient condition'!N103,'Gradient condition'!N111,'Gradient condition'!N119))*B$1*B$1</f>
        <v>3603.9254053109771</v>
      </c>
    </row>
  </sheetData>
  <mergeCells count="4">
    <mergeCell ref="G3:K3"/>
    <mergeCell ref="A3:E3"/>
    <mergeCell ref="A11:E11"/>
    <mergeCell ref="G11:K11"/>
  </mergeCells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dab8b7-d4aa-47d6-90d4-c63cb89dc6aa">
      <Terms xmlns="http://schemas.microsoft.com/office/infopath/2007/PartnerControls"/>
    </lcf76f155ced4ddcb4097134ff3c332f>
    <TaxCatchAll xmlns="a5ed2fb1-bb4c-48aa-90c6-56898cd7ac1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1CB9F6C0257540ADA5E71BF0DE4A02" ma:contentTypeVersion="15" ma:contentTypeDescription="Create a new document." ma:contentTypeScope="" ma:versionID="85d9cb2ef0bfe3eba3049656de4a3574">
  <xsd:schema xmlns:xsd="http://www.w3.org/2001/XMLSchema" xmlns:xs="http://www.w3.org/2001/XMLSchema" xmlns:p="http://schemas.microsoft.com/office/2006/metadata/properties" xmlns:ns2="08dab8b7-d4aa-47d6-90d4-c63cb89dc6aa" xmlns:ns3="a5ed2fb1-bb4c-48aa-90c6-56898cd7ac1f" targetNamespace="http://schemas.microsoft.com/office/2006/metadata/properties" ma:root="true" ma:fieldsID="f77a9b5f97af2786fdd681beb9b91633" ns2:_="" ns3:_="">
    <xsd:import namespace="08dab8b7-d4aa-47d6-90d4-c63cb89dc6aa"/>
    <xsd:import namespace="a5ed2fb1-bb4c-48aa-90c6-56898cd7ac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dab8b7-d4aa-47d6-90d4-c63cb89dc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ed2fb1-bb4c-48aa-90c6-56898cd7ac1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90ada76-47a4-4a78-aa6d-3638990e049b}" ma:internalName="TaxCatchAll" ma:showField="CatchAllData" ma:web="a5ed2fb1-bb4c-48aa-90c6-56898cd7ac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D77E13-94F0-40DB-B79D-8A5CCB5937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433811-E917-4A55-8D14-631A00ECC149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a5ed2fb1-bb4c-48aa-90c6-56898cd7ac1f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08dab8b7-d4aa-47d6-90d4-c63cb89dc6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2268A0E-0A0C-4F95-B560-4EE325BB61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dab8b7-d4aa-47d6-90d4-c63cb89dc6aa"/>
    <ds:schemaRef ds:uri="a5ed2fb1-bb4c-48aa-90c6-56898cd7ac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CTRL Condition</vt:lpstr>
      <vt:lpstr>Gradient condition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2026-02-09T09:49:04Z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0x0101009C1CB9F6C0257540ADA5E71BF0DE4A02</vt:lpwstr>
  </property>
  <property fmtid="{D5CDD505-2E9C-101B-9397-08002B2CF9AE}" pid="3" name="MSIP_Label_2ad0b24d-6422-44b0-b3de-abb3a9e8c81a_Enabled">
    <vt:lpwstr>true</vt:lpwstr>
  </property>
  <property fmtid="{D5CDD505-2E9C-101B-9397-08002B2CF9AE}" pid="4" name="MSIP_Label_2ad0b24d-6422-44b0-b3de-abb3a9e8c81a_SetDate">
    <vt:lpwstr>2025-04-02T12:59:49Z</vt:lpwstr>
  </property>
  <property fmtid="{D5CDD505-2E9C-101B-9397-08002B2CF9AE}" pid="5" name="MSIP_Label_2ad0b24d-6422-44b0-b3de-abb3a9e8c81a_Method">
    <vt:lpwstr>Standard</vt:lpwstr>
  </property>
  <property fmtid="{D5CDD505-2E9C-101B-9397-08002B2CF9AE}" pid="6" name="MSIP_Label_2ad0b24d-6422-44b0-b3de-abb3a9e8c81a_Name">
    <vt:lpwstr>defa4170-0d19-0005-0004-bc88714345d2</vt:lpwstr>
  </property>
  <property fmtid="{D5CDD505-2E9C-101B-9397-08002B2CF9AE}" pid="7" name="MSIP_Label_2ad0b24d-6422-44b0-b3de-abb3a9e8c81a_SiteId">
    <vt:lpwstr>2fcfe26a-bb62-46b0-b1e3-28f9da0c45fd</vt:lpwstr>
  </property>
  <property fmtid="{D5CDD505-2E9C-101B-9397-08002B2CF9AE}" pid="8" name="MSIP_Label_2ad0b24d-6422-44b0-b3de-abb3a9e8c81a_ActionId">
    <vt:lpwstr>b05c55b4-0b40-4c40-a86a-ef335b600253</vt:lpwstr>
  </property>
  <property fmtid="{D5CDD505-2E9C-101B-9397-08002B2CF9AE}" pid="9" name="MSIP_Label_2ad0b24d-6422-44b0-b3de-abb3a9e8c81a_ContentBits">
    <vt:lpwstr>0</vt:lpwstr>
  </property>
  <property fmtid="{D5CDD505-2E9C-101B-9397-08002B2CF9AE}" pid="10" name="MSIP_Label_2ad0b24d-6422-44b0-b3de-abb3a9e8c81a_Tag">
    <vt:lpwstr>10, 3, 0, 1</vt:lpwstr>
  </property>
  <property fmtid="{D5CDD505-2E9C-101B-9397-08002B2CF9AE}" pid="11" name="MediaServiceImageTags">
    <vt:lpwstr/>
  </property>
</Properties>
</file>